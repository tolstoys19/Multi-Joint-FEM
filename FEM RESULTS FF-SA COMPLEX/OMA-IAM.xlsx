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JournalRAL2\Repository\FEM RESULTS FF-SA COMPLEX\"/>
    </mc:Choice>
  </mc:AlternateContent>
  <xr:revisionPtr revIDLastSave="0" documentId="8_{FBE33F85-67FC-4CC1-B7A5-B3051644E479}" xr6:coauthVersionLast="47" xr6:coauthVersionMax="47" xr10:uidLastSave="{00000000-0000-0000-0000-000000000000}"/>
  <bookViews>
    <workbookView xWindow="-108" yWindow="-108" windowWidth="23256" windowHeight="12456" xr2:uid="{FDB1B140-B920-4EF2-920E-EE1BAA6E03D9}"/>
  </bookViews>
  <sheets>
    <sheet name="OMA-I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S14" i="1"/>
  <c r="Q14" i="1"/>
  <c r="O14" i="1"/>
  <c r="M14" i="1"/>
  <c r="U13" i="1"/>
  <c r="S13" i="1"/>
  <c r="Q13" i="1"/>
  <c r="O13" i="1"/>
  <c r="M13" i="1"/>
  <c r="U12" i="1"/>
  <c r="S12" i="1"/>
  <c r="Q12" i="1"/>
  <c r="O12" i="1"/>
  <c r="M12" i="1"/>
  <c r="U11" i="1"/>
  <c r="S11" i="1"/>
  <c r="Q11" i="1"/>
  <c r="O11" i="1"/>
  <c r="M11" i="1"/>
  <c r="U10" i="1"/>
  <c r="S10" i="1"/>
  <c r="Q10" i="1"/>
  <c r="O10" i="1"/>
  <c r="M10" i="1"/>
  <c r="N13" i="1" s="1"/>
  <c r="U9" i="1"/>
  <c r="S9" i="1"/>
  <c r="Q9" i="1"/>
  <c r="O9" i="1"/>
  <c r="M9" i="1"/>
  <c r="U8" i="1"/>
  <c r="S8" i="1"/>
  <c r="Q8" i="1"/>
  <c r="O8" i="1"/>
  <c r="M8" i="1"/>
  <c r="U7" i="1"/>
  <c r="S7" i="1"/>
  <c r="Q7" i="1"/>
  <c r="O7" i="1"/>
  <c r="P13" i="1" s="1"/>
  <c r="M7" i="1"/>
  <c r="U6" i="1"/>
  <c r="S6" i="1"/>
  <c r="Q6" i="1"/>
  <c r="O6" i="1"/>
  <c r="M6" i="1"/>
  <c r="U5" i="1"/>
  <c r="S5" i="1"/>
  <c r="Q5" i="1"/>
  <c r="O5" i="1"/>
  <c r="M5" i="1"/>
  <c r="U4" i="1"/>
  <c r="S4" i="1"/>
  <c r="T14" i="1" s="1"/>
  <c r="Q4" i="1"/>
  <c r="R13" i="1" s="1"/>
  <c r="O4" i="1"/>
  <c r="P14" i="1" s="1"/>
  <c r="M4" i="1"/>
  <c r="N14" i="1" s="1"/>
  <c r="W3" i="1"/>
  <c r="U3" i="1"/>
  <c r="S3" i="1"/>
  <c r="Q3" i="1"/>
  <c r="O3" i="1"/>
  <c r="M3" i="1"/>
  <c r="T13" i="1" l="1"/>
</calcChain>
</file>

<file path=xl/sharedStrings.xml><?xml version="1.0" encoding="utf-8"?>
<sst xmlns="http://schemas.openxmlformats.org/spreadsheetml/2006/main" count="30" uniqueCount="16">
  <si>
    <t>Pressure</t>
  </si>
  <si>
    <t>MCP IND. PATTERN/S1</t>
  </si>
  <si>
    <t>PIP Seq. Pattern S1</t>
  </si>
  <si>
    <t>Dip. Seq. Pattern S1</t>
  </si>
  <si>
    <t>PIP Ind. Pattern</t>
  </si>
  <si>
    <t xml:space="preserve">DIP  Ind. Pattern </t>
  </si>
  <si>
    <t>MCP Sim. Pattern</t>
  </si>
  <si>
    <t>PIP Sim. Pattern</t>
  </si>
  <si>
    <t>DIP Sim. Pattern</t>
  </si>
  <si>
    <t>MCP</t>
  </si>
  <si>
    <t>PIP</t>
  </si>
  <si>
    <t>DIP</t>
  </si>
  <si>
    <t>Variance</t>
  </si>
  <si>
    <t>Average</t>
  </si>
  <si>
    <t>Range(・E・E)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</si>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</sst>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35C1-41E9-4385-BC80-E24FBDFF5972}">
  <dimension ref="A1:X14"/>
  <sheetViews>
    <sheetView tabSelected="1" workbookViewId="0">
      <selection activeCell="D12" sqref="D12"/>
    </sheetView>
  </sheetViews>
  <sheetFormatPr defaultRowHeight="13.2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9</v>
      </c>
      <c r="O1" t="s">
        <v>10</v>
      </c>
      <c r="Q1" t="s">
        <v>11</v>
      </c>
      <c r="S1" t="s">
        <v>9</v>
      </c>
      <c r="U1" t="s">
        <v>10</v>
      </c>
      <c r="W1" t="s">
        <v>11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L2" t="s">
        <v>0</v>
      </c>
      <c r="M2" t="s">
        <v>12</v>
      </c>
      <c r="N2" t="s">
        <v>13</v>
      </c>
      <c r="O2" t="s">
        <v>12</v>
      </c>
      <c r="P2" t="s">
        <v>13</v>
      </c>
      <c r="Q2" t="s">
        <v>12</v>
      </c>
      <c r="R2" t="s">
        <v>13</v>
      </c>
      <c r="S2" t="s">
        <v>14</v>
      </c>
      <c r="T2" t="s">
        <v>13</v>
      </c>
      <c r="U2" t="s">
        <v>14</v>
      </c>
      <c r="V2" t="s">
        <v>13</v>
      </c>
      <c r="W2" t="s">
        <v>14</v>
      </c>
      <c r="X2" t="s">
        <v>13</v>
      </c>
    </row>
    <row r="3" spans="1:24" x14ac:dyDescent="0.2">
      <c r="A3">
        <v>10000</v>
      </c>
      <c r="B3">
        <v>2.2844568870000002</v>
      </c>
      <c r="C3">
        <v>2.0258854309999998</v>
      </c>
      <c r="D3">
        <v>1.6817222469999999</v>
      </c>
      <c r="E3">
        <v>2.3534961879999998</v>
      </c>
      <c r="F3">
        <v>1.8823442889999999</v>
      </c>
      <c r="G3">
        <v>2.523834688</v>
      </c>
      <c r="H3">
        <v>2.3404649439999998</v>
      </c>
      <c r="I3">
        <v>1.7929499950000001</v>
      </c>
      <c r="L3">
        <v>0</v>
      </c>
      <c r="M3">
        <f>_xlfn.VAR.S(B2,G2)</f>
        <v>0</v>
      </c>
      <c r="O3">
        <f>_xlfn.VAR.S(C2,H2,E2)</f>
        <v>0</v>
      </c>
      <c r="Q3">
        <f>_xlfn.VAR.S(D2,I2,F2)</f>
        <v>0</v>
      </c>
      <c r="S3">
        <f>MAX(B2,G2)-MIN(B2,G2)</f>
        <v>0</v>
      </c>
      <c r="U3">
        <f>MAX(C2,H2,E2)-MIN(C2,H2,E2)</f>
        <v>0</v>
      </c>
      <c r="W3">
        <f>MAX(D2,I2,F2)-MIN(D2,I2,F2)</f>
        <v>0</v>
      </c>
    </row>
    <row r="4" spans="1:24" x14ac:dyDescent="0.2">
      <c r="A4">
        <v>20000</v>
      </c>
      <c r="B4">
        <v>4.8938334279999998</v>
      </c>
      <c r="C4">
        <v>4.3681082949999999</v>
      </c>
      <c r="D4">
        <v>3.7444557939999998</v>
      </c>
      <c r="E4">
        <v>5.0130639539999997</v>
      </c>
      <c r="F4">
        <v>4.0079786290000001</v>
      </c>
      <c r="G4">
        <v>5.5465343249999997</v>
      </c>
      <c r="H4">
        <v>4.8521847889999998</v>
      </c>
      <c r="I4">
        <v>3.7105461119999998</v>
      </c>
      <c r="L4">
        <v>10000</v>
      </c>
      <c r="M4">
        <f t="shared" ref="M4:M13" si="0">_xlfn.VAR.S(B3,G3)</f>
        <v>2.8650865805797759E-2</v>
      </c>
      <c r="O4">
        <f t="shared" ref="O4:O14" si="1">_xlfn.VAR.S(C3,H3,E3)</f>
        <v>3.4409815236936286E-2</v>
      </c>
      <c r="Q4">
        <f t="shared" ref="Q4:Q14" si="2">_xlfn.VAR.S(D3,I3,F3)</f>
        <v>1.0102025910193286E-2</v>
      </c>
      <c r="S4">
        <f t="shared" ref="S4:S14" si="3">MAX(B3,G3)-MIN(B3,G3)</f>
        <v>0.23937780099999983</v>
      </c>
      <c r="U4">
        <f t="shared" ref="U4:U14" si="4">MAX(C3,H3,E3)-MIN(C3,H3,E3)</f>
        <v>0.32761075699999997</v>
      </c>
      <c r="W4">
        <v>0.27334368100000001</v>
      </c>
    </row>
    <row r="5" spans="1:24" x14ac:dyDescent="0.2">
      <c r="A5">
        <v>30000</v>
      </c>
      <c r="B5">
        <v>7.8620396189999999</v>
      </c>
      <c r="C5">
        <v>6.705348496</v>
      </c>
      <c r="D5">
        <v>5.8791961209999997</v>
      </c>
      <c r="E5">
        <v>8.0231696059999997</v>
      </c>
      <c r="F5">
        <v>6.4310189519999996</v>
      </c>
      <c r="G5">
        <v>8.8737653739999995</v>
      </c>
      <c r="H5">
        <v>7.7293343549999998</v>
      </c>
      <c r="I5">
        <v>5.9167704050000003</v>
      </c>
      <c r="L5">
        <v>20000</v>
      </c>
      <c r="M5">
        <f t="shared" si="0"/>
        <v>0.21300923047230225</v>
      </c>
      <c r="O5">
        <f t="shared" si="1"/>
        <v>0.11269665997509222</v>
      </c>
      <c r="Q5">
        <f t="shared" si="2"/>
        <v>2.6510042211455663E-2</v>
      </c>
      <c r="S5">
        <f t="shared" si="3"/>
        <v>0.65270089699999989</v>
      </c>
      <c r="U5">
        <f t="shared" si="4"/>
        <v>0.64495565899999985</v>
      </c>
      <c r="W5">
        <v>0.42367957499999997</v>
      </c>
    </row>
    <row r="6" spans="1:24" x14ac:dyDescent="0.2">
      <c r="A6">
        <v>40000</v>
      </c>
      <c r="B6">
        <v>11.234996239999999</v>
      </c>
      <c r="C6">
        <v>9.6504272029999996</v>
      </c>
      <c r="D6">
        <v>8.4932744630000006</v>
      </c>
      <c r="E6">
        <v>11.446564260000001</v>
      </c>
      <c r="F6">
        <v>9.2019047060000005</v>
      </c>
      <c r="G6">
        <v>12.497785840000001</v>
      </c>
      <c r="H6">
        <v>10.92625878</v>
      </c>
      <c r="I6">
        <v>8.4497342450000001</v>
      </c>
      <c r="L6">
        <v>30000</v>
      </c>
      <c r="M6">
        <f t="shared" si="0"/>
        <v>0.51179450166515961</v>
      </c>
      <c r="O6">
        <f t="shared" si="1"/>
        <v>0.47858977868730523</v>
      </c>
      <c r="Q6">
        <f t="shared" si="2"/>
        <v>9.5061971953762966E-2</v>
      </c>
      <c r="S6">
        <f t="shared" si="3"/>
        <v>1.0117257549999996</v>
      </c>
      <c r="U6">
        <f t="shared" si="4"/>
        <v>1.3178211099999997</v>
      </c>
      <c r="W6">
        <v>0.51278527200000001</v>
      </c>
    </row>
    <row r="7" spans="1:24" x14ac:dyDescent="0.2">
      <c r="A7">
        <v>50000</v>
      </c>
      <c r="B7">
        <v>14.983305590000001</v>
      </c>
      <c r="C7">
        <v>13.112987840000001</v>
      </c>
      <c r="D7">
        <v>11.363203390000001</v>
      </c>
      <c r="E7">
        <v>15.3338772</v>
      </c>
      <c r="F7">
        <v>12.37793838</v>
      </c>
      <c r="G7">
        <v>16.68173938</v>
      </c>
      <c r="H7">
        <v>14.73656793</v>
      </c>
      <c r="I7">
        <v>11.489279489999999</v>
      </c>
      <c r="L7">
        <v>40000</v>
      </c>
      <c r="M7">
        <f t="shared" si="0"/>
        <v>0.79731878693408176</v>
      </c>
      <c r="O7">
        <f t="shared" si="1"/>
        <v>0.85409538881949387</v>
      </c>
      <c r="Q7">
        <f t="shared" si="2"/>
        <v>0.17830216237977997</v>
      </c>
      <c r="S7">
        <f t="shared" si="3"/>
        <v>1.2627896000000014</v>
      </c>
      <c r="U7">
        <f t="shared" si="4"/>
        <v>1.796137057000001</v>
      </c>
      <c r="W7">
        <v>0.88740774499999997</v>
      </c>
    </row>
    <row r="8" spans="1:24" x14ac:dyDescent="0.2">
      <c r="A8">
        <v>60000</v>
      </c>
      <c r="B8">
        <v>19.225547039999999</v>
      </c>
      <c r="C8">
        <v>17.20491286</v>
      </c>
      <c r="D8">
        <v>14.127795900000001</v>
      </c>
      <c r="E8">
        <v>19.77605316</v>
      </c>
      <c r="F8">
        <v>15.9884082</v>
      </c>
      <c r="G8">
        <v>21.169333089999999</v>
      </c>
      <c r="H8">
        <v>18.95732387</v>
      </c>
      <c r="I8">
        <v>14.9364477</v>
      </c>
      <c r="L8">
        <v>50000</v>
      </c>
      <c r="M8">
        <f t="shared" si="0"/>
        <v>1.4423386695068807</v>
      </c>
      <c r="O8">
        <f t="shared" si="1"/>
        <v>1.3208567036722574</v>
      </c>
      <c r="Q8">
        <f t="shared" si="2"/>
        <v>0.3058828176162568</v>
      </c>
      <c r="S8">
        <f t="shared" si="3"/>
        <v>1.6984337899999993</v>
      </c>
      <c r="U8">
        <f t="shared" si="4"/>
        <v>2.2208893599999993</v>
      </c>
      <c r="W8">
        <v>0.73956829000000002</v>
      </c>
    </row>
    <row r="9" spans="1:24" x14ac:dyDescent="0.2">
      <c r="A9">
        <v>70000</v>
      </c>
      <c r="B9">
        <v>23.890080659999999</v>
      </c>
      <c r="C9">
        <v>21.891941840000001</v>
      </c>
      <c r="D9">
        <v>17.95652261</v>
      </c>
      <c r="E9">
        <v>24.687183009999998</v>
      </c>
      <c r="F9">
        <v>20.173006390000001</v>
      </c>
      <c r="G9">
        <v>25.95329825</v>
      </c>
      <c r="H9">
        <v>23.812202790000001</v>
      </c>
      <c r="I9">
        <v>18.93424164</v>
      </c>
      <c r="L9">
        <v>60000</v>
      </c>
      <c r="M9">
        <f t="shared" si="0"/>
        <v>1.8891521040873012</v>
      </c>
      <c r="O9">
        <f t="shared" si="1"/>
        <v>1.7253374067595351</v>
      </c>
      <c r="Q9">
        <f t="shared" si="2"/>
        <v>0.87040279301912959</v>
      </c>
      <c r="S9">
        <f t="shared" si="3"/>
        <v>1.9437860499999999</v>
      </c>
      <c r="U9">
        <f t="shared" si="4"/>
        <v>2.5711402999999997</v>
      </c>
      <c r="W9">
        <v>0.84515220000000002</v>
      </c>
    </row>
    <row r="10" spans="1:24" x14ac:dyDescent="0.2">
      <c r="A10">
        <v>80000</v>
      </c>
      <c r="B10">
        <v>29.002953349999999</v>
      </c>
      <c r="C10">
        <v>27.591219580000001</v>
      </c>
      <c r="D10">
        <v>22.458483940000001</v>
      </c>
      <c r="E10">
        <v>30.388093940000001</v>
      </c>
      <c r="F10">
        <v>24.901307509999999</v>
      </c>
      <c r="G10">
        <v>31.318903150000001</v>
      </c>
      <c r="H10">
        <v>29.404754539999999</v>
      </c>
      <c r="I10">
        <v>23.57817476</v>
      </c>
      <c r="L10">
        <v>70000</v>
      </c>
      <c r="M10">
        <f t="shared" si="0"/>
        <v>2.1284334118427055</v>
      </c>
      <c r="O10">
        <f t="shared" si="1"/>
        <v>2.0443942833248494</v>
      </c>
      <c r="Q10">
        <f t="shared" si="2"/>
        <v>1.2338788257449664</v>
      </c>
      <c r="S10">
        <f t="shared" si="3"/>
        <v>2.0632175900000007</v>
      </c>
      <c r="U10">
        <f t="shared" si="4"/>
        <v>2.7952411699999971</v>
      </c>
      <c r="W10">
        <v>0.86014581000000001</v>
      </c>
    </row>
    <row r="11" spans="1:24" x14ac:dyDescent="0.2">
      <c r="A11">
        <v>90000</v>
      </c>
      <c r="B11">
        <v>34.870780000000003</v>
      </c>
      <c r="C11">
        <v>33.837823049999997</v>
      </c>
      <c r="D11">
        <v>26.98592623</v>
      </c>
      <c r="E11">
        <v>36.698285650000003</v>
      </c>
      <c r="F11">
        <v>30.19323073</v>
      </c>
      <c r="G11">
        <v>37.060517230000002</v>
      </c>
      <c r="H11">
        <v>35.583002540000003</v>
      </c>
      <c r="I11">
        <v>28.81403808</v>
      </c>
      <c r="L11">
        <v>80000</v>
      </c>
      <c r="M11">
        <f t="shared" si="0"/>
        <v>2.6818117380600244</v>
      </c>
      <c r="O11">
        <f t="shared" si="1"/>
        <v>2.0130619353933286</v>
      </c>
      <c r="Q11">
        <f t="shared" si="2"/>
        <v>1.4952958001103944</v>
      </c>
      <c r="S11">
        <f t="shared" si="3"/>
        <v>2.3159498000000021</v>
      </c>
      <c r="U11">
        <f t="shared" si="4"/>
        <v>2.7968743600000003</v>
      </c>
      <c r="W11">
        <v>0.83540455999999996</v>
      </c>
    </row>
    <row r="12" spans="1:24" x14ac:dyDescent="0.2">
      <c r="A12">
        <v>100000</v>
      </c>
      <c r="B12">
        <v>41.247294369999999</v>
      </c>
      <c r="C12">
        <v>40.636820640000003</v>
      </c>
      <c r="D12">
        <v>33.742345819999997</v>
      </c>
      <c r="E12">
        <v>44.020707129999998</v>
      </c>
      <c r="F12">
        <v>36.020181780000001</v>
      </c>
      <c r="G12">
        <v>42.86900533</v>
      </c>
      <c r="H12">
        <v>42.191973840000003</v>
      </c>
      <c r="I12">
        <v>34.46060086</v>
      </c>
      <c r="L12">
        <v>90000</v>
      </c>
      <c r="M12">
        <f t="shared" si="0"/>
        <v>2.3974745682240335</v>
      </c>
      <c r="O12">
        <f t="shared" si="1"/>
        <v>2.078625692294457</v>
      </c>
      <c r="Q12">
        <f t="shared" si="2"/>
        <v>2.5884945762741145</v>
      </c>
      <c r="S12">
        <f t="shared" si="3"/>
        <v>2.1897372299999986</v>
      </c>
      <c r="U12">
        <f t="shared" si="4"/>
        <v>2.8604626000000053</v>
      </c>
      <c r="W12">
        <v>1.0708342900000001</v>
      </c>
    </row>
    <row r="13" spans="1:24" x14ac:dyDescent="0.2">
      <c r="A13" t="s">
        <v>15</v>
      </c>
      <c r="B13">
        <v>44.922464744537592</v>
      </c>
      <c r="C13">
        <v>42.992514922296628</v>
      </c>
      <c r="D13">
        <v>33.742345819999997</v>
      </c>
      <c r="L13">
        <v>100000</v>
      </c>
      <c r="M13">
        <f t="shared" si="0"/>
        <v>1.3149732188920631</v>
      </c>
      <c r="N13">
        <f>AVERAGE(M3:M13)</f>
        <v>1.2186324632263954</v>
      </c>
      <c r="O13">
        <f t="shared" si="1"/>
        <v>2.868909116438155</v>
      </c>
      <c r="P13">
        <f>AVERAGE(O3:O13)</f>
        <v>1.2300887982364919</v>
      </c>
      <c r="Q13">
        <f t="shared" si="2"/>
        <v>1.3561199348637665</v>
      </c>
      <c r="R13">
        <f>AVERAGE(Q3:Q13)</f>
        <v>0.74182281364398373</v>
      </c>
      <c r="S13">
        <f t="shared" si="3"/>
        <v>1.6217109600000015</v>
      </c>
      <c r="T13">
        <f>AVERAGE(S3:S13)</f>
        <v>1.3635844975454547</v>
      </c>
      <c r="U13">
        <f t="shared" si="4"/>
        <v>3.3838864899999948</v>
      </c>
      <c r="V13">
        <v>0.58588979500000005</v>
      </c>
      <c r="W13">
        <v>1.7139413100000001</v>
      </c>
      <c r="X13">
        <v>0.74202388500000005</v>
      </c>
    </row>
    <row r="14" spans="1:24" x14ac:dyDescent="0.2">
      <c r="L14" t="s">
        <v>15</v>
      </c>
      <c r="M14">
        <f>_xlfn.VAR.S(B13,B12,G12)</f>
        <v>3.3922532144693318</v>
      </c>
      <c r="N14">
        <f>AVERAGE(M3:M14)</f>
        <v>1.3997675258299733</v>
      </c>
      <c r="O14">
        <f>_xlfn.VAR.S(C13,H12,E12,C12)</f>
        <v>2.0383996242250437</v>
      </c>
      <c r="P14">
        <f>AVERAGE(O3:O14)</f>
        <v>1.2974480337355379</v>
      </c>
      <c r="Q14">
        <f>_xlfn.VAR.S(D13,I12,F12)</f>
        <v>1.3561199348637665</v>
      </c>
      <c r="S14">
        <f>MAX(B13,G12,B12)-MIN(B13,G12,B12)</f>
        <v>3.6751703745375934</v>
      </c>
      <c r="T14">
        <f>AVERAGE(S3:S14)</f>
        <v>1.5562166539614664</v>
      </c>
      <c r="U14">
        <f>MAX(C12,H12,E12,C13)-MIN(C12,H12,E12,C13)</f>
        <v>3.3838864899999948</v>
      </c>
      <c r="V14">
        <v>0.669299749</v>
      </c>
      <c r="W14">
        <v>1.7139413100000001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OMA-IAM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2025-01-03T13:17:35Z</dcterms:created>
  <dcterms:modified xsi:type="dcterms:W3CDTF">2025-01-03T13:18:02Z</dcterms:modified>
</cp:coreProperties>
</file>