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JournalRAL2\Repository\FEM RESULTS FF-SA COMPLEX\"/>
    </mc:Choice>
  </mc:AlternateContent>
  <xr:revisionPtr revIDLastSave="0" documentId="8_{9BE31C6B-462B-44A8-9ABC-673D2487CE4D}" xr6:coauthVersionLast="47" xr6:coauthVersionMax="47" xr10:uidLastSave="{00000000-0000-0000-0000-000000000000}"/>
  <bookViews>
    <workbookView xWindow="-108" yWindow="-108" windowWidth="23256" windowHeight="12456" xr2:uid="{55345483-13BC-482E-AACF-245CFCB21FF1}"/>
  </bookViews>
  <sheets>
    <sheet name="OMA-CC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1" l="1"/>
  <c r="S14" i="1"/>
  <c r="Q14" i="1"/>
  <c r="O14" i="1"/>
  <c r="M14" i="1"/>
  <c r="U13" i="1"/>
  <c r="S13" i="1"/>
  <c r="Q13" i="1"/>
  <c r="O13" i="1"/>
  <c r="M13" i="1"/>
  <c r="U12" i="1"/>
  <c r="S12" i="1"/>
  <c r="Q12" i="1"/>
  <c r="O12" i="1"/>
  <c r="M12" i="1"/>
  <c r="U11" i="1"/>
  <c r="S11" i="1"/>
  <c r="Q11" i="1"/>
  <c r="O11" i="1"/>
  <c r="M11" i="1"/>
  <c r="U10" i="1"/>
  <c r="S10" i="1"/>
  <c r="Q10" i="1"/>
  <c r="O10" i="1"/>
  <c r="M10" i="1"/>
  <c r="N13" i="1" s="1"/>
  <c r="U9" i="1"/>
  <c r="S9" i="1"/>
  <c r="Q9" i="1"/>
  <c r="O9" i="1"/>
  <c r="M9" i="1"/>
  <c r="U8" i="1"/>
  <c r="S8" i="1"/>
  <c r="Q8" i="1"/>
  <c r="O8" i="1"/>
  <c r="M8" i="1"/>
  <c r="U7" i="1"/>
  <c r="S7" i="1"/>
  <c r="Q7" i="1"/>
  <c r="O7" i="1"/>
  <c r="P13" i="1" s="1"/>
  <c r="M7" i="1"/>
  <c r="U6" i="1"/>
  <c r="S6" i="1"/>
  <c r="Q6" i="1"/>
  <c r="O6" i="1"/>
  <c r="M6" i="1"/>
  <c r="U5" i="1"/>
  <c r="S5" i="1"/>
  <c r="Q5" i="1"/>
  <c r="O5" i="1"/>
  <c r="M5" i="1"/>
  <c r="U4" i="1"/>
  <c r="S4" i="1"/>
  <c r="T13" i="1" s="1"/>
  <c r="Q4" i="1"/>
  <c r="R13" i="1" s="1"/>
  <c r="O4" i="1"/>
  <c r="M4" i="1"/>
  <c r="N14" i="1" s="1"/>
  <c r="W3" i="1"/>
  <c r="U3" i="1"/>
  <c r="S3" i="1"/>
  <c r="T14" i="1" s="1"/>
  <c r="Q3" i="1"/>
  <c r="O3" i="1"/>
  <c r="P14" i="1" s="1"/>
  <c r="M3" i="1"/>
</calcChain>
</file>

<file path=xl/sharedStrings.xml><?xml version="1.0" encoding="utf-8"?>
<sst xmlns="http://schemas.openxmlformats.org/spreadsheetml/2006/main" count="30" uniqueCount="16">
  <si>
    <t>Pressure</t>
  </si>
  <si>
    <t>MCP IND. PATTERN/S1</t>
  </si>
  <si>
    <t>PIP Seq. Pattern S1</t>
  </si>
  <si>
    <t>Dip. Seq. Pattern S1</t>
  </si>
  <si>
    <t>PIP Ind. Pattern</t>
  </si>
  <si>
    <t xml:space="preserve">DIP  Ind. Pattern </t>
  </si>
  <si>
    <t>MCP Sim. Pattern</t>
  </si>
  <si>
    <t>PIP Sim. Pattern</t>
  </si>
  <si>
    <t>DIP Sim. Pattern</t>
  </si>
  <si>
    <t>MCP</t>
  </si>
  <si>
    <t>PIP</t>
  </si>
  <si>
    <t>DIP</t>
  </si>
  <si>
    <t>Variance</t>
  </si>
  <si>
    <t>Average</t>
  </si>
  <si>
    <t>Range(・E・E)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</si>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</sst>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2BE4D-7A4E-4E72-929B-043A660956C2}">
  <dimension ref="A1:X14"/>
  <sheetViews>
    <sheetView tabSelected="1" workbookViewId="0">
      <selection activeCell="M14" sqref="M14"/>
    </sheetView>
  </sheetViews>
  <sheetFormatPr defaultRowHeight="13.2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M1" t="s">
        <v>9</v>
      </c>
      <c r="O1" t="s">
        <v>10</v>
      </c>
      <c r="Q1" t="s">
        <v>11</v>
      </c>
      <c r="S1" t="s">
        <v>9</v>
      </c>
      <c r="U1" t="s">
        <v>10</v>
      </c>
      <c r="W1" t="s">
        <v>11</v>
      </c>
    </row>
    <row r="2" spans="1:24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L2" t="s">
        <v>0</v>
      </c>
      <c r="M2" t="s">
        <v>12</v>
      </c>
      <c r="N2" t="s">
        <v>13</v>
      </c>
      <c r="O2" t="s">
        <v>12</v>
      </c>
      <c r="P2" t="s">
        <v>13</v>
      </c>
      <c r="Q2" t="s">
        <v>12</v>
      </c>
      <c r="R2" t="s">
        <v>13</v>
      </c>
      <c r="S2" t="s">
        <v>14</v>
      </c>
      <c r="T2" t="s">
        <v>13</v>
      </c>
      <c r="U2" t="s">
        <v>14</v>
      </c>
      <c r="V2" t="s">
        <v>13</v>
      </c>
      <c r="W2" t="s">
        <v>14</v>
      </c>
      <c r="X2" t="s">
        <v>13</v>
      </c>
    </row>
    <row r="3" spans="1:24" x14ac:dyDescent="0.2">
      <c r="A3">
        <v>10000</v>
      </c>
      <c r="B3">
        <v>2.090812654</v>
      </c>
      <c r="C3">
        <v>2.1734581629999998</v>
      </c>
      <c r="D3">
        <v>2.1730718260000002</v>
      </c>
      <c r="E3">
        <v>2.2199793739999998</v>
      </c>
      <c r="F3">
        <v>1.763777857</v>
      </c>
      <c r="G3">
        <v>2.0563639139999998</v>
      </c>
      <c r="H3">
        <v>2.3450376199999998</v>
      </c>
      <c r="I3">
        <v>1.8234870700000001</v>
      </c>
      <c r="L3">
        <v>0</v>
      </c>
      <c r="M3">
        <f>_xlfn.VAR.S(B2,G2)</f>
        <v>0</v>
      </c>
      <c r="O3">
        <f>_xlfn.VAR.S(C2,H2,E2)</f>
        <v>0</v>
      </c>
      <c r="Q3">
        <f>_xlfn.VAR.S(D2,I2,F2)</f>
        <v>0</v>
      </c>
      <c r="S3">
        <f>MAX(B2,G2)-MIN(B2,G2)</f>
        <v>0</v>
      </c>
      <c r="U3">
        <f>MAX(C2,H2,E2)-MIN(C2,H2,E2)</f>
        <v>0</v>
      </c>
      <c r="W3">
        <f>MAX(D2,I2,F2)-MIN(D2,I2,F2)</f>
        <v>0</v>
      </c>
    </row>
    <row r="4" spans="1:24" x14ac:dyDescent="0.2">
      <c r="A4">
        <v>20000</v>
      </c>
      <c r="B4">
        <v>4.4601038419999997</v>
      </c>
      <c r="C4">
        <v>4.6013836560000003</v>
      </c>
      <c r="D4">
        <v>4.6003638369999997</v>
      </c>
      <c r="E4">
        <v>4.7162449080000002</v>
      </c>
      <c r="F4">
        <v>3.7176091480000002</v>
      </c>
      <c r="G4">
        <v>4.4885407380000002</v>
      </c>
      <c r="H4">
        <v>4.7753371290000004</v>
      </c>
      <c r="I4">
        <v>3.7395754910000001</v>
      </c>
      <c r="L4">
        <v>10000</v>
      </c>
      <c r="M4">
        <f t="shared" ref="M4:M13" si="0">_xlfn.VAR.S(B3,G3)</f>
        <v>5.9335784379380683E-4</v>
      </c>
      <c r="O4">
        <f t="shared" ref="O4:O14" si="1">_xlfn.VAR.S(C3,H3,E3)</f>
        <v>7.8738830049863151E-3</v>
      </c>
      <c r="Q4">
        <f t="shared" ref="Q4:Q14" si="2">_xlfn.VAR.S(D3,I3,F3)</f>
        <v>4.8882707467405341E-2</v>
      </c>
      <c r="S4">
        <f t="shared" ref="S4:S14" si="3">MAX(B3,G3)-MIN(B3,G3)</f>
        <v>3.44487400000002E-2</v>
      </c>
      <c r="U4">
        <f t="shared" ref="U4:U14" si="4">MAX(C3,H3,E3)-MIN(C3,H3,E3)</f>
        <v>0.17157945699999999</v>
      </c>
      <c r="W4">
        <v>0.27334368100000001</v>
      </c>
    </row>
    <row r="5" spans="1:24" x14ac:dyDescent="0.2">
      <c r="A5">
        <v>30000</v>
      </c>
      <c r="B5">
        <v>7.1016586679999998</v>
      </c>
      <c r="C5">
        <v>7.2833436479999998</v>
      </c>
      <c r="D5">
        <v>7.262482565</v>
      </c>
      <c r="E5">
        <v>7.5387711150000003</v>
      </c>
      <c r="F5">
        <v>5.9263070329999996</v>
      </c>
      <c r="G5">
        <v>7.1598749719999999</v>
      </c>
      <c r="H5">
        <v>7.4886323140000002</v>
      </c>
      <c r="I5">
        <v>5.8807450469999996</v>
      </c>
      <c r="L5">
        <v>20000</v>
      </c>
      <c r="M5">
        <f t="shared" si="0"/>
        <v>4.043285270574235E-4</v>
      </c>
      <c r="O5">
        <f t="shared" si="1"/>
        <v>7.8241347604136834E-3</v>
      </c>
      <c r="Q5">
        <f t="shared" si="2"/>
        <v>0.25344915629761289</v>
      </c>
      <c r="S5">
        <f t="shared" si="3"/>
        <v>2.8436896000000544E-2</v>
      </c>
      <c r="U5">
        <f t="shared" si="4"/>
        <v>0.17395347300000008</v>
      </c>
      <c r="W5">
        <v>0.42367957499999997</v>
      </c>
    </row>
    <row r="6" spans="1:24" x14ac:dyDescent="0.2">
      <c r="A6">
        <v>40000</v>
      </c>
      <c r="B6">
        <v>10.20553774</v>
      </c>
      <c r="C6">
        <v>10.46417233</v>
      </c>
      <c r="D6">
        <v>10.46450181</v>
      </c>
      <c r="E6">
        <v>10.72969425</v>
      </c>
      <c r="F6">
        <v>8.4203099019999996</v>
      </c>
      <c r="G6">
        <v>10.31949309</v>
      </c>
      <c r="H6">
        <v>10.763902270000001</v>
      </c>
      <c r="I6">
        <v>8.3809386870000004</v>
      </c>
      <c r="L6">
        <v>30000</v>
      </c>
      <c r="M6">
        <f t="shared" si="0"/>
        <v>1.6945690257102143E-3</v>
      </c>
      <c r="O6">
        <f t="shared" si="1"/>
        <v>1.8316754441968945E-2</v>
      </c>
      <c r="Q6">
        <f t="shared" si="2"/>
        <v>0.61610658592207557</v>
      </c>
      <c r="S6">
        <f t="shared" si="3"/>
        <v>5.8216304000000108E-2</v>
      </c>
      <c r="U6">
        <f t="shared" si="4"/>
        <v>0.25542746700000052</v>
      </c>
      <c r="W6">
        <v>0.51278527200000001</v>
      </c>
    </row>
    <row r="7" spans="1:24" x14ac:dyDescent="0.2">
      <c r="A7">
        <v>50000</v>
      </c>
      <c r="B7">
        <v>13.59250799</v>
      </c>
      <c r="C7">
        <v>13.916896469999999</v>
      </c>
      <c r="D7">
        <v>13.920125710000001</v>
      </c>
      <c r="E7">
        <v>14.28568018</v>
      </c>
      <c r="F7">
        <v>11.23271476</v>
      </c>
      <c r="G7">
        <v>13.714060010000001</v>
      </c>
      <c r="H7">
        <v>14.32939695</v>
      </c>
      <c r="I7">
        <v>11.171525580000001</v>
      </c>
      <c r="L7">
        <v>40000</v>
      </c>
      <c r="M7">
        <f t="shared" si="0"/>
        <v>6.492910896811188E-3</v>
      </c>
      <c r="O7">
        <f t="shared" si="1"/>
        <v>2.6918352594201757E-2</v>
      </c>
      <c r="Q7">
        <f t="shared" si="2"/>
        <v>1.4202509894714694</v>
      </c>
      <c r="S7">
        <f t="shared" si="3"/>
        <v>0.11395534999999946</v>
      </c>
      <c r="U7">
        <f t="shared" si="4"/>
        <v>0.29972994000000064</v>
      </c>
      <c r="W7">
        <v>0.88740774499999997</v>
      </c>
    </row>
    <row r="8" spans="1:24" x14ac:dyDescent="0.2">
      <c r="A8">
        <v>60000</v>
      </c>
      <c r="B8">
        <v>17.336841929999999</v>
      </c>
      <c r="C8">
        <v>17.732243650000001</v>
      </c>
      <c r="D8">
        <v>17.73277603</v>
      </c>
      <c r="E8">
        <v>18.461384339999999</v>
      </c>
      <c r="F8">
        <v>14.41877217</v>
      </c>
      <c r="G8">
        <v>17.41266281</v>
      </c>
      <c r="H8">
        <v>18.323129519999998</v>
      </c>
      <c r="I8">
        <v>14.31384514</v>
      </c>
      <c r="L8">
        <v>50000</v>
      </c>
      <c r="M8">
        <f t="shared" si="0"/>
        <v>7.3874467830403329E-3</v>
      </c>
      <c r="O8">
        <f t="shared" si="1"/>
        <v>5.1344871123471345E-2</v>
      </c>
      <c r="Q8">
        <f t="shared" si="2"/>
        <v>2.4634540674274774</v>
      </c>
      <c r="S8">
        <f t="shared" si="3"/>
        <v>0.12155202000000109</v>
      </c>
      <c r="U8">
        <f t="shared" si="4"/>
        <v>0.41250048000000028</v>
      </c>
      <c r="W8">
        <v>0.73956829000000002</v>
      </c>
    </row>
    <row r="9" spans="1:24" x14ac:dyDescent="0.2">
      <c r="A9">
        <v>70000</v>
      </c>
      <c r="B9">
        <v>21.515340949999999</v>
      </c>
      <c r="C9">
        <v>21.960156699999999</v>
      </c>
      <c r="D9">
        <v>21.975411390000001</v>
      </c>
      <c r="E9">
        <v>23.134982610000002</v>
      </c>
      <c r="F9">
        <v>18.023819469999999</v>
      </c>
      <c r="G9">
        <v>21.24425913</v>
      </c>
      <c r="H9">
        <v>22.543060449999999</v>
      </c>
      <c r="I9">
        <v>17.76225281</v>
      </c>
      <c r="L9">
        <v>60000</v>
      </c>
      <c r="M9">
        <f t="shared" si="0"/>
        <v>2.87440292198735E-3</v>
      </c>
      <c r="O9">
        <f t="shared" si="1"/>
        <v>0.14998444207209319</v>
      </c>
      <c r="Q9">
        <f t="shared" si="2"/>
        <v>3.7804532827192361</v>
      </c>
      <c r="S9">
        <f t="shared" si="3"/>
        <v>7.5820880000001978E-2</v>
      </c>
      <c r="U9">
        <f t="shared" si="4"/>
        <v>0.7291406899999977</v>
      </c>
      <c r="W9">
        <v>0.84515220000000002</v>
      </c>
    </row>
    <row r="10" spans="1:24" x14ac:dyDescent="0.2">
      <c r="A10">
        <v>80000</v>
      </c>
      <c r="B10">
        <v>25.938747100000001</v>
      </c>
      <c r="C10">
        <v>26.45884311</v>
      </c>
      <c r="D10">
        <v>24.23723609</v>
      </c>
      <c r="E10">
        <v>28.295437310000001</v>
      </c>
      <c r="F10">
        <v>22.19064376</v>
      </c>
      <c r="G10">
        <v>26.273124360000001</v>
      </c>
      <c r="H10">
        <v>27.897378280000002</v>
      </c>
      <c r="I10">
        <v>22.06163003</v>
      </c>
      <c r="L10">
        <v>70000</v>
      </c>
      <c r="M10">
        <f t="shared" si="0"/>
        <v>3.6742676567255966E-2</v>
      </c>
      <c r="O10">
        <f t="shared" si="1"/>
        <v>0.34506075734507763</v>
      </c>
      <c r="Q10">
        <f t="shared" si="2"/>
        <v>5.5723668400100816</v>
      </c>
      <c r="S10">
        <f t="shared" si="3"/>
        <v>0.27108181999999914</v>
      </c>
      <c r="U10">
        <f t="shared" si="4"/>
        <v>1.1748259100000027</v>
      </c>
      <c r="W10">
        <v>0.86014581000000001</v>
      </c>
    </row>
    <row r="11" spans="1:24" x14ac:dyDescent="0.2">
      <c r="A11">
        <v>90000</v>
      </c>
      <c r="B11">
        <v>31.524841349999999</v>
      </c>
      <c r="C11">
        <v>32.100365930000002</v>
      </c>
      <c r="D11">
        <v>29.357753540000001</v>
      </c>
      <c r="E11">
        <v>34.346533180000002</v>
      </c>
      <c r="F11">
        <v>26.727036470000002</v>
      </c>
      <c r="G11">
        <v>30.97276012</v>
      </c>
      <c r="H11">
        <v>33.070360860000001</v>
      </c>
      <c r="I11">
        <v>26.487605160000001</v>
      </c>
      <c r="L11">
        <v>80000</v>
      </c>
      <c r="M11">
        <f t="shared" si="0"/>
        <v>5.5904076002553843E-2</v>
      </c>
      <c r="O11">
        <f t="shared" si="1"/>
        <v>0.93348544702751912</v>
      </c>
      <c r="Q11">
        <f t="shared" si="2"/>
        <v>1.4897410726753437</v>
      </c>
      <c r="S11">
        <f t="shared" si="3"/>
        <v>0.33437726000000012</v>
      </c>
      <c r="U11">
        <f t="shared" si="4"/>
        <v>1.8365942000000004</v>
      </c>
      <c r="W11">
        <v>0.83540455999999996</v>
      </c>
    </row>
    <row r="12" spans="1:24" x14ac:dyDescent="0.2">
      <c r="A12">
        <v>100000</v>
      </c>
      <c r="B12">
        <v>37.37502259</v>
      </c>
      <c r="C12">
        <v>38.001617449999998</v>
      </c>
      <c r="D12">
        <v>34.861268500000001</v>
      </c>
      <c r="E12">
        <v>40.537061739999999</v>
      </c>
      <c r="F12">
        <v>31.894163330000001</v>
      </c>
      <c r="G12">
        <v>35.071817189999997</v>
      </c>
      <c r="H12">
        <v>38.206833590000002</v>
      </c>
      <c r="I12">
        <v>30.893041459999999</v>
      </c>
      <c r="L12">
        <v>90000</v>
      </c>
      <c r="M12">
        <f t="shared" si="0"/>
        <v>0.15239684225915581</v>
      </c>
      <c r="O12">
        <f t="shared" si="1"/>
        <v>1.2691288782554073</v>
      </c>
      <c r="Q12">
        <f t="shared" si="2"/>
        <v>2.5359585629690535</v>
      </c>
      <c r="S12">
        <f t="shared" si="3"/>
        <v>0.55208122999999887</v>
      </c>
      <c r="U12">
        <f t="shared" si="4"/>
        <v>2.2461672499999992</v>
      </c>
      <c r="W12">
        <v>1.0708342900000001</v>
      </c>
    </row>
    <row r="13" spans="1:24" x14ac:dyDescent="0.2">
      <c r="A13" t="s">
        <v>15</v>
      </c>
      <c r="B13">
        <v>38.34570749084174</v>
      </c>
      <c r="C13">
        <v>39.733289282369981</v>
      </c>
      <c r="D13">
        <v>34.861268500000001</v>
      </c>
      <c r="L13">
        <v>100000</v>
      </c>
      <c r="M13">
        <f t="shared" si="0"/>
        <v>2.6523775572945869</v>
      </c>
      <c r="N13">
        <f>AVERAGE(M3:M13)</f>
        <v>0.26516983346563205</v>
      </c>
      <c r="O13">
        <f t="shared" si="1"/>
        <v>1.9834257738104193</v>
      </c>
      <c r="P13">
        <f>AVERAGE(O3:O13)</f>
        <v>0.43576029949414163</v>
      </c>
      <c r="Q13">
        <f t="shared" si="2"/>
        <v>4.258797321570035</v>
      </c>
      <c r="R13">
        <f>AVERAGE(Q3:Q13)</f>
        <v>2.0399509624117993</v>
      </c>
      <c r="S13">
        <f t="shared" si="3"/>
        <v>2.3032054000000031</v>
      </c>
      <c r="T13">
        <f>AVERAGE(S3:S13)</f>
        <v>0.35392508181818222</v>
      </c>
      <c r="U13">
        <f t="shared" si="4"/>
        <v>2.5354442900000009</v>
      </c>
      <c r="V13">
        <v>0.58588979500000005</v>
      </c>
      <c r="W13">
        <v>1.7139413100000001</v>
      </c>
      <c r="X13">
        <v>0.74202388500000005</v>
      </c>
    </row>
    <row r="14" spans="1:24" x14ac:dyDescent="0.2">
      <c r="L14" t="s">
        <v>15</v>
      </c>
      <c r="M14">
        <f>_xlfn.VAR.S(B13,B12,G12)</f>
        <v>2.8275569988761577</v>
      </c>
      <c r="N14">
        <f>AVERAGE(M3:M14)</f>
        <v>0.47870209724984258</v>
      </c>
      <c r="O14">
        <f>_xlfn.VAR.S(C13,H12,E12,C12)</f>
        <v>1.4896132601916199</v>
      </c>
      <c r="P14">
        <f>AVERAGE(O3:O14)</f>
        <v>0.5235813795522648</v>
      </c>
      <c r="Q14">
        <f>_xlfn.VAR.S(D13,I12,F12)</f>
        <v>4.258797321570035</v>
      </c>
      <c r="S14">
        <f>MAX(B13,G12,B12)-MIN(B13,G12,B12)</f>
        <v>3.2738903008417424</v>
      </c>
      <c r="T14">
        <f>AVERAGE(S3:S14)</f>
        <v>0.59725551673681221</v>
      </c>
      <c r="U14">
        <f>MAX(C12,H12,E12,C13)-MIN(C12,H12,E12,C13)</f>
        <v>2.5354442900000009</v>
      </c>
      <c r="V14">
        <v>0.669299749</v>
      </c>
      <c r="W14">
        <v>1.7139413100000001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OMA-CCAM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Tortos</dc:creator>
  <cp:lastModifiedBy>Pablo Tortos</cp:lastModifiedBy>
  <dcterms:created xsi:type="dcterms:W3CDTF">2025-01-03T13:16:25Z</dcterms:created>
  <dcterms:modified xsi:type="dcterms:W3CDTF">2025-01-03T13:16:45Z</dcterms:modified>
</cp:coreProperties>
</file>