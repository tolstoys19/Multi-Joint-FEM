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JournalRAL2\Repository\FEM RESULTS FF-SA COMPLEX\"/>
    </mc:Choice>
  </mc:AlternateContent>
  <xr:revisionPtr revIDLastSave="0" documentId="8_{F7BC94F4-3AC9-4B49-8EFA-68DD9E35872B}" xr6:coauthVersionLast="47" xr6:coauthVersionMax="47" xr10:uidLastSave="{00000000-0000-0000-0000-000000000000}"/>
  <bookViews>
    <workbookView xWindow="-108" yWindow="-108" windowWidth="23256" windowHeight="12456" xr2:uid="{3CA5AF61-FCBA-40C5-884F-3077DC51D9A5}"/>
  </bookViews>
  <sheets>
    <sheet name="OMA-EB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S14" i="1"/>
  <c r="Q14" i="1"/>
  <c r="O14" i="1"/>
  <c r="M14" i="1"/>
  <c r="U13" i="1"/>
  <c r="S13" i="1"/>
  <c r="Q13" i="1"/>
  <c r="O13" i="1"/>
  <c r="M13" i="1"/>
  <c r="U12" i="1"/>
  <c r="S12" i="1"/>
  <c r="Q12" i="1"/>
  <c r="O12" i="1"/>
  <c r="M12" i="1"/>
  <c r="U11" i="1"/>
  <c r="S11" i="1"/>
  <c r="Q11" i="1"/>
  <c r="O11" i="1"/>
  <c r="M11" i="1"/>
  <c r="U10" i="1"/>
  <c r="S10" i="1"/>
  <c r="Q10" i="1"/>
  <c r="O10" i="1"/>
  <c r="M10" i="1"/>
  <c r="N13" i="1" s="1"/>
  <c r="U9" i="1"/>
  <c r="S9" i="1"/>
  <c r="Q9" i="1"/>
  <c r="O9" i="1"/>
  <c r="M9" i="1"/>
  <c r="U8" i="1"/>
  <c r="S8" i="1"/>
  <c r="Q8" i="1"/>
  <c r="O8" i="1"/>
  <c r="M8" i="1"/>
  <c r="U7" i="1"/>
  <c r="S7" i="1"/>
  <c r="Q7" i="1"/>
  <c r="O7" i="1"/>
  <c r="P13" i="1" s="1"/>
  <c r="M7" i="1"/>
  <c r="U6" i="1"/>
  <c r="S6" i="1"/>
  <c r="Q6" i="1"/>
  <c r="O6" i="1"/>
  <c r="M6" i="1"/>
  <c r="U5" i="1"/>
  <c r="S5" i="1"/>
  <c r="Q5" i="1"/>
  <c r="O5" i="1"/>
  <c r="M5" i="1"/>
  <c r="U4" i="1"/>
  <c r="S4" i="1"/>
  <c r="T14" i="1" s="1"/>
  <c r="Q4" i="1"/>
  <c r="R13" i="1" s="1"/>
  <c r="O4" i="1"/>
  <c r="M4" i="1"/>
  <c r="N14" i="1" s="1"/>
  <c r="W3" i="1"/>
  <c r="U3" i="1"/>
  <c r="S3" i="1"/>
  <c r="Q3" i="1"/>
  <c r="O3" i="1"/>
  <c r="P14" i="1" s="1"/>
  <c r="M3" i="1"/>
  <c r="T13" i="1" l="1"/>
</calcChain>
</file>

<file path=xl/sharedStrings.xml><?xml version="1.0" encoding="utf-8"?>
<sst xmlns="http://schemas.openxmlformats.org/spreadsheetml/2006/main" count="30" uniqueCount="16">
  <si>
    <t>Pressure</t>
  </si>
  <si>
    <t>MCP IND. PATTERN/S1</t>
  </si>
  <si>
    <t>PIP Seq. Pattern S1</t>
  </si>
  <si>
    <t>Dip. Seq. Pattern S1</t>
  </si>
  <si>
    <t>PIP Ind. Pattern</t>
  </si>
  <si>
    <t xml:space="preserve">DIP  Ind. Pattern </t>
  </si>
  <si>
    <t>MCP Sim. Pattern</t>
  </si>
  <si>
    <t>PIP Sim. Pattern</t>
  </si>
  <si>
    <t>DIP Sim. Pattern</t>
  </si>
  <si>
    <t>MCP</t>
  </si>
  <si>
    <t>PIP</t>
  </si>
  <si>
    <t>DIP</t>
  </si>
  <si>
    <t>Variance</t>
  </si>
  <si>
    <t>Average</t>
  </si>
  <si>
    <t>Range(・E・E)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</si>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</sst>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ED3C-1D80-4BA9-850B-D77416730D1C}">
  <dimension ref="A1:X14"/>
  <sheetViews>
    <sheetView tabSelected="1" workbookViewId="0">
      <selection activeCell="M25" sqref="M25"/>
    </sheetView>
  </sheetViews>
  <sheetFormatPr defaultRowHeight="13.2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O1" t="s">
        <v>10</v>
      </c>
      <c r="Q1" t="s">
        <v>11</v>
      </c>
      <c r="S1" t="s">
        <v>9</v>
      </c>
      <c r="U1" t="s">
        <v>10</v>
      </c>
      <c r="W1" t="s">
        <v>11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0</v>
      </c>
      <c r="M2" t="s">
        <v>12</v>
      </c>
      <c r="N2" t="s">
        <v>13</v>
      </c>
      <c r="O2" t="s">
        <v>12</v>
      </c>
      <c r="P2" t="s">
        <v>13</v>
      </c>
      <c r="Q2" t="s">
        <v>12</v>
      </c>
      <c r="R2" t="s">
        <v>13</v>
      </c>
      <c r="S2" t="s">
        <v>14</v>
      </c>
      <c r="T2" t="s">
        <v>13</v>
      </c>
      <c r="U2" t="s">
        <v>14</v>
      </c>
      <c r="V2" t="s">
        <v>13</v>
      </c>
      <c r="W2" t="s">
        <v>14</v>
      </c>
      <c r="X2" t="s">
        <v>13</v>
      </c>
    </row>
    <row r="3" spans="1:24" x14ac:dyDescent="0.2">
      <c r="A3">
        <v>10000</v>
      </c>
      <c r="B3">
        <v>2.623525474</v>
      </c>
      <c r="C3">
        <v>1.8278390520000001</v>
      </c>
      <c r="D3">
        <v>1.220052267</v>
      </c>
      <c r="E3">
        <v>2.3907159240000002</v>
      </c>
      <c r="F3">
        <v>1.6937402269999999</v>
      </c>
      <c r="G3">
        <v>3.1992896320000002</v>
      </c>
      <c r="H3">
        <v>2.5847055540000001</v>
      </c>
      <c r="I3">
        <v>1.2687719850000001</v>
      </c>
      <c r="L3">
        <v>0</v>
      </c>
      <c r="M3">
        <f>_xlfn.VAR.S(B2,G2)</f>
        <v>0</v>
      </c>
      <c r="O3">
        <f>_xlfn.VAR.S(C2,H2,E2)</f>
        <v>0</v>
      </c>
      <c r="Q3">
        <f>_xlfn.VAR.S(D2,I2,F2)</f>
        <v>0</v>
      </c>
      <c r="S3">
        <f>MAX(B2,G2)-MIN(B2,G2)</f>
        <v>0</v>
      </c>
      <c r="U3">
        <f>MAX(C2,H2,E2)-MIN(C2,H2,E2)</f>
        <v>0</v>
      </c>
      <c r="W3">
        <f>MAX(D2,I2,F2)-MIN(D2,I2,F2)</f>
        <v>0</v>
      </c>
    </row>
    <row r="4" spans="1:24" x14ac:dyDescent="0.2">
      <c r="A4">
        <v>20000</v>
      </c>
      <c r="B4">
        <v>5.6570278140000001</v>
      </c>
      <c r="C4">
        <v>4.0003111929999999</v>
      </c>
      <c r="D4">
        <v>2.5625620969999998</v>
      </c>
      <c r="E4">
        <v>4.9976878659999997</v>
      </c>
      <c r="F4">
        <v>3.568287346</v>
      </c>
      <c r="G4">
        <v>6.8812339869999999</v>
      </c>
      <c r="H4">
        <v>5.3682266070000004</v>
      </c>
      <c r="I4">
        <v>2.7197352339999998</v>
      </c>
      <c r="L4">
        <v>10000</v>
      </c>
      <c r="M4">
        <f t="shared" ref="M4:M13" si="0">_xlfn.VAR.S(B3,G3)</f>
        <v>0.16575218281872456</v>
      </c>
      <c r="O4">
        <f t="shared" ref="O4:O14" si="1">_xlfn.VAR.S(C3,H3,E3)</f>
        <v>0.15455154190495968</v>
      </c>
      <c r="Q4">
        <f t="shared" ref="Q4:Q14" si="2">_xlfn.VAR.S(D3,I3,F3)</f>
        <v>6.7891983513255205E-2</v>
      </c>
      <c r="S4">
        <f t="shared" ref="S4:S14" si="3">MAX(B3,G3)-MIN(B3,G3)</f>
        <v>0.57576415800000014</v>
      </c>
      <c r="U4">
        <f t="shared" ref="U4:U14" si="4">MAX(C3,H3,E3)-MIN(C3,H3,E3)</f>
        <v>0.75686650200000005</v>
      </c>
      <c r="W4">
        <v>0.27334368100000001</v>
      </c>
    </row>
    <row r="5" spans="1:24" x14ac:dyDescent="0.2">
      <c r="A5">
        <v>30000</v>
      </c>
      <c r="B5">
        <v>9.1534395170000007</v>
      </c>
      <c r="C5">
        <v>6.4721292999999998</v>
      </c>
      <c r="D5">
        <v>4.1651015469999999</v>
      </c>
      <c r="E5">
        <v>7.9397022489999998</v>
      </c>
      <c r="F5">
        <v>5.6529616999999996</v>
      </c>
      <c r="G5">
        <v>10.98373866</v>
      </c>
      <c r="H5">
        <v>8.3956661799999992</v>
      </c>
      <c r="I5">
        <v>4.3643748169999999</v>
      </c>
      <c r="L5">
        <v>20000</v>
      </c>
      <c r="M5">
        <f t="shared" si="0"/>
        <v>0.7493403770056527</v>
      </c>
      <c r="O5">
        <f t="shared" si="1"/>
        <v>0.50054196104753146</v>
      </c>
      <c r="Q5">
        <f t="shared" si="2"/>
        <v>0.29270455970836373</v>
      </c>
      <c r="S5">
        <f t="shared" si="3"/>
        <v>1.2242061729999998</v>
      </c>
      <c r="U5">
        <f t="shared" si="4"/>
        <v>1.3679154140000005</v>
      </c>
      <c r="W5">
        <v>0.42367957499999997</v>
      </c>
    </row>
    <row r="6" spans="1:24" x14ac:dyDescent="0.2">
      <c r="A6">
        <v>40000</v>
      </c>
      <c r="B6">
        <v>13.10332702</v>
      </c>
      <c r="C6">
        <v>9.2997359040000003</v>
      </c>
      <c r="D6">
        <v>6.0128595090000001</v>
      </c>
      <c r="E6">
        <v>11.15311501</v>
      </c>
      <c r="F6">
        <v>7.9558620749999998</v>
      </c>
      <c r="G6">
        <v>15.55792523</v>
      </c>
      <c r="H6">
        <v>11.756730640000001</v>
      </c>
      <c r="I6">
        <v>6.3869577919999996</v>
      </c>
      <c r="L6">
        <v>30000</v>
      </c>
      <c r="M6">
        <f t="shared" si="0"/>
        <v>1.6749974764332665</v>
      </c>
      <c r="O6">
        <f t="shared" si="1"/>
        <v>1.0102779326216194</v>
      </c>
      <c r="Q6">
        <f t="shared" si="2"/>
        <v>0.65231563767688527</v>
      </c>
      <c r="S6">
        <f t="shared" si="3"/>
        <v>1.8302991429999995</v>
      </c>
      <c r="U6">
        <f t="shared" si="4"/>
        <v>1.9235368799999994</v>
      </c>
      <c r="W6">
        <v>0.51278527200000001</v>
      </c>
    </row>
    <row r="7" spans="1:24" x14ac:dyDescent="0.2">
      <c r="A7">
        <v>50000</v>
      </c>
      <c r="B7">
        <v>17.62112788</v>
      </c>
      <c r="C7">
        <v>12.612870279999999</v>
      </c>
      <c r="D7">
        <v>8.7479721329999993</v>
      </c>
      <c r="E7">
        <v>14.669150030000001</v>
      </c>
      <c r="F7">
        <v>10.46723113</v>
      </c>
      <c r="G7">
        <v>20.604683860000002</v>
      </c>
      <c r="H7">
        <v>15.538851319999999</v>
      </c>
      <c r="I7">
        <v>8.7681817140000007</v>
      </c>
      <c r="L7">
        <v>40000</v>
      </c>
      <c r="M7">
        <f t="shared" si="0"/>
        <v>3.0125261862676029</v>
      </c>
      <c r="O7">
        <f t="shared" si="1"/>
        <v>1.6393648453448948</v>
      </c>
      <c r="Q7">
        <f t="shared" si="2"/>
        <v>1.0627781910069842</v>
      </c>
      <c r="S7">
        <f t="shared" si="3"/>
        <v>2.4545982100000003</v>
      </c>
      <c r="U7">
        <f t="shared" si="4"/>
        <v>2.4569947360000004</v>
      </c>
      <c r="W7">
        <v>0.88740774499999997</v>
      </c>
    </row>
    <row r="8" spans="1:24" x14ac:dyDescent="0.2">
      <c r="A8">
        <v>60000</v>
      </c>
      <c r="B8">
        <v>22.73896246</v>
      </c>
      <c r="C8">
        <v>16.747633090000001</v>
      </c>
      <c r="D8">
        <v>12.05443975</v>
      </c>
      <c r="E8">
        <v>18.55480738</v>
      </c>
      <c r="F8">
        <v>13.179930909999999</v>
      </c>
      <c r="G8">
        <v>26.110205409999999</v>
      </c>
      <c r="H8">
        <v>19.973506390000001</v>
      </c>
      <c r="I8">
        <v>11.681087700000001</v>
      </c>
      <c r="L8">
        <v>50000</v>
      </c>
      <c r="M8">
        <f t="shared" si="0"/>
        <v>4.4508031428968859</v>
      </c>
      <c r="O8">
        <f t="shared" si="1"/>
        <v>2.2576719650878685</v>
      </c>
      <c r="Q8">
        <f t="shared" si="2"/>
        <v>0.97383814065659713</v>
      </c>
      <c r="S8">
        <f t="shared" si="3"/>
        <v>2.983555980000002</v>
      </c>
      <c r="U8">
        <f t="shared" si="4"/>
        <v>2.9259810399999999</v>
      </c>
      <c r="W8">
        <v>0.73956829000000002</v>
      </c>
    </row>
    <row r="9" spans="1:24" x14ac:dyDescent="0.2">
      <c r="A9">
        <v>70000</v>
      </c>
      <c r="B9">
        <v>28.818539260000001</v>
      </c>
      <c r="C9">
        <v>22.050380019999999</v>
      </c>
      <c r="D9">
        <v>15.96832713</v>
      </c>
      <c r="E9">
        <v>22.717591500000001</v>
      </c>
      <c r="F9">
        <v>16.071501120000001</v>
      </c>
      <c r="G9">
        <v>31.939685879999999</v>
      </c>
      <c r="H9">
        <v>25.024500119999999</v>
      </c>
      <c r="I9">
        <v>15.146042230000001</v>
      </c>
      <c r="L9">
        <v>60000</v>
      </c>
      <c r="M9">
        <f t="shared" si="0"/>
        <v>5.6826395139623482</v>
      </c>
      <c r="O9">
        <f t="shared" si="1"/>
        <v>2.614140723844145</v>
      </c>
      <c r="Q9">
        <f t="shared" si="2"/>
        <v>0.60877551210674108</v>
      </c>
      <c r="S9">
        <f t="shared" si="3"/>
        <v>3.3712429499999992</v>
      </c>
      <c r="U9">
        <f t="shared" si="4"/>
        <v>3.2258732999999999</v>
      </c>
      <c r="W9">
        <v>0.84515220000000002</v>
      </c>
    </row>
    <row r="10" spans="1:24" x14ac:dyDescent="0.2">
      <c r="A10">
        <v>80000</v>
      </c>
      <c r="B10">
        <v>35.567143369999997</v>
      </c>
      <c r="C10">
        <v>28.42547355</v>
      </c>
      <c r="D10">
        <v>20.942283639999999</v>
      </c>
      <c r="E10">
        <v>27.150916840000001</v>
      </c>
      <c r="F10">
        <v>19.061818219999999</v>
      </c>
      <c r="G10">
        <v>37.935841699999997</v>
      </c>
      <c r="H10">
        <v>30.505588370000002</v>
      </c>
      <c r="I10">
        <v>19.08107103</v>
      </c>
      <c r="L10">
        <v>70000</v>
      </c>
      <c r="M10">
        <f t="shared" si="0"/>
        <v>4.8707781117687041</v>
      </c>
      <c r="O10">
        <f t="shared" si="1"/>
        <v>2.4353981515496836</v>
      </c>
      <c r="Q10">
        <f t="shared" si="2"/>
        <v>0.25721191434342688</v>
      </c>
      <c r="S10">
        <f t="shared" si="3"/>
        <v>3.1211466199999975</v>
      </c>
      <c r="U10">
        <f t="shared" si="4"/>
        <v>2.9741201000000004</v>
      </c>
      <c r="W10">
        <v>0.86014581000000001</v>
      </c>
    </row>
    <row r="11" spans="1:24" x14ac:dyDescent="0.2">
      <c r="A11">
        <v>90000</v>
      </c>
      <c r="B11">
        <v>43.654481830000002</v>
      </c>
      <c r="C11">
        <v>35.465069479999997</v>
      </c>
      <c r="D11">
        <v>25.305208610000001</v>
      </c>
      <c r="E11">
        <v>31.914836340000001</v>
      </c>
      <c r="F11">
        <v>22.086999299999999</v>
      </c>
      <c r="G11">
        <v>45.255365400000002</v>
      </c>
      <c r="H11">
        <v>36.736329359999999</v>
      </c>
      <c r="I11">
        <v>24.06329234</v>
      </c>
      <c r="L11">
        <v>80000</v>
      </c>
      <c r="M11">
        <f t="shared" si="0"/>
        <v>2.8053658892723963</v>
      </c>
      <c r="O11">
        <f t="shared" si="1"/>
        <v>2.867532257597035</v>
      </c>
      <c r="Q11">
        <f t="shared" si="2"/>
        <v>1.1667722076886136</v>
      </c>
      <c r="S11">
        <f t="shared" si="3"/>
        <v>2.3686983300000009</v>
      </c>
      <c r="U11">
        <f t="shared" si="4"/>
        <v>3.354671530000001</v>
      </c>
      <c r="W11">
        <v>0.83540455999999996</v>
      </c>
    </row>
    <row r="12" spans="1:24" x14ac:dyDescent="0.2">
      <c r="A12">
        <v>100000</v>
      </c>
      <c r="B12">
        <v>53.760219470000003</v>
      </c>
      <c r="C12">
        <v>43.107819839999998</v>
      </c>
      <c r="D12">
        <v>30.11749438</v>
      </c>
      <c r="E12">
        <v>37.170238560000001</v>
      </c>
      <c r="F12">
        <v>25.07997104</v>
      </c>
      <c r="G12">
        <v>47.869286279999997</v>
      </c>
      <c r="H12">
        <v>38.664782940000002</v>
      </c>
      <c r="I12">
        <v>25.684746239999999</v>
      </c>
      <c r="L12">
        <v>90000</v>
      </c>
      <c r="M12">
        <f t="shared" si="0"/>
        <v>1.2814141023479735</v>
      </c>
      <c r="O12">
        <f t="shared" si="1"/>
        <v>6.2445086621267594</v>
      </c>
      <c r="Q12">
        <f t="shared" si="2"/>
        <v>2.6341602274356424</v>
      </c>
      <c r="S12">
        <f t="shared" si="3"/>
        <v>1.6008835700000006</v>
      </c>
      <c r="U12">
        <f t="shared" si="4"/>
        <v>4.8214930199999984</v>
      </c>
      <c r="W12">
        <v>1.0708342900000001</v>
      </c>
    </row>
    <row r="13" spans="1:24" x14ac:dyDescent="0.2">
      <c r="A13" t="s">
        <v>15</v>
      </c>
      <c r="B13">
        <v>60.619367120269303</v>
      </c>
      <c r="C13">
        <v>47.152330730904268</v>
      </c>
      <c r="D13">
        <v>30.11749438</v>
      </c>
      <c r="L13">
        <v>100000</v>
      </c>
      <c r="M13">
        <f t="shared" si="0"/>
        <v>17.35154692452182</v>
      </c>
      <c r="N13">
        <f>AVERAGE(M3:M13)</f>
        <v>3.822287627935943</v>
      </c>
      <c r="O13">
        <f t="shared" si="1"/>
        <v>9.5381852091929247</v>
      </c>
      <c r="P13">
        <f>AVERAGE(O3:O13)</f>
        <v>2.6601975682106747</v>
      </c>
      <c r="Q13">
        <f t="shared" si="2"/>
        <v>7.5652750860422096</v>
      </c>
      <c r="R13">
        <f>AVERAGE(Q3:Q13)</f>
        <v>1.3892475872889745</v>
      </c>
      <c r="S13">
        <f t="shared" si="3"/>
        <v>5.8909331900000055</v>
      </c>
      <c r="T13">
        <f>AVERAGE(S3:S13)</f>
        <v>2.3110298476363642</v>
      </c>
      <c r="U13">
        <f t="shared" si="4"/>
        <v>5.9375812799999963</v>
      </c>
      <c r="V13">
        <v>0.58588979500000005</v>
      </c>
      <c r="W13">
        <v>1.7139413100000001</v>
      </c>
      <c r="X13">
        <v>0.74202388500000005</v>
      </c>
    </row>
    <row r="14" spans="1:24" x14ac:dyDescent="0.2">
      <c r="L14" t="s">
        <v>15</v>
      </c>
      <c r="M14">
        <f>_xlfn.VAR.S(B13,B12,G12)</f>
        <v>40.719260295106821</v>
      </c>
      <c r="N14">
        <f>AVERAGE(M3:M14)</f>
        <v>6.8970353502001833</v>
      </c>
      <c r="O14">
        <f>_xlfn.VAR.S(C13,H12,E12,C12)</f>
        <v>20.438984267759412</v>
      </c>
      <c r="P14">
        <f>AVERAGE(O3:O14)</f>
        <v>4.1417631265064028</v>
      </c>
      <c r="Q14">
        <f>_xlfn.VAR.S(D12,I12,F12)</f>
        <v>7.5652750860422096</v>
      </c>
      <c r="S14">
        <f>MAX(B13,G12,B12)-MIN(B13,G12,B12)</f>
        <v>12.750080840269305</v>
      </c>
      <c r="T14">
        <f>AVERAGE(S3:S14)</f>
        <v>3.180950763689109</v>
      </c>
      <c r="U14">
        <f>MAX(C12,H12,E12,C13)-MIN(C12,H12,E12,C13)</f>
        <v>9.9820921709042665</v>
      </c>
      <c r="V14">
        <v>0.669299749</v>
      </c>
      <c r="W14">
        <v>1.7139413100000001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OMA-EBAM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2025-01-03T13:17:05Z</dcterms:created>
  <dcterms:modified xsi:type="dcterms:W3CDTF">2025-01-03T13:17:23Z</dcterms:modified>
</cp:coreProperties>
</file>