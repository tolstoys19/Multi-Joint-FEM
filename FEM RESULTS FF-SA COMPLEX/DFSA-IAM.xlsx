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JournalRAL2\Repository\FEM RESULTS FF-SA COMPLEX\"/>
    </mc:Choice>
  </mc:AlternateContent>
  <xr:revisionPtr revIDLastSave="0" documentId="8_{1D388E2B-D853-4867-A675-1DF637A74806}" xr6:coauthVersionLast="47" xr6:coauthVersionMax="47" xr10:uidLastSave="{00000000-0000-0000-0000-000000000000}"/>
  <bookViews>
    <workbookView xWindow="-108" yWindow="-108" windowWidth="23256" windowHeight="12456" xr2:uid="{F8B43FB7-FA61-4BEE-8C15-DE80A53670F7}"/>
  </bookViews>
  <sheets>
    <sheet name="DFSA-I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" l="1"/>
  <c r="S14" i="1"/>
  <c r="Q14" i="1"/>
  <c r="O14" i="1"/>
  <c r="M14" i="1"/>
  <c r="U13" i="1"/>
  <c r="S13" i="1"/>
  <c r="Q13" i="1"/>
  <c r="O13" i="1"/>
  <c r="M13" i="1"/>
  <c r="U12" i="1"/>
  <c r="S12" i="1"/>
  <c r="Q12" i="1"/>
  <c r="O12" i="1"/>
  <c r="M12" i="1"/>
  <c r="U11" i="1"/>
  <c r="S11" i="1"/>
  <c r="Q11" i="1"/>
  <c r="O11" i="1"/>
  <c r="M11" i="1"/>
  <c r="U10" i="1"/>
  <c r="S10" i="1"/>
  <c r="Q10" i="1"/>
  <c r="O10" i="1"/>
  <c r="M10" i="1"/>
  <c r="N13" i="1" s="1"/>
  <c r="U9" i="1"/>
  <c r="S9" i="1"/>
  <c r="Q9" i="1"/>
  <c r="O9" i="1"/>
  <c r="M9" i="1"/>
  <c r="U8" i="1"/>
  <c r="S8" i="1"/>
  <c r="Q8" i="1"/>
  <c r="O8" i="1"/>
  <c r="M8" i="1"/>
  <c r="U7" i="1"/>
  <c r="S7" i="1"/>
  <c r="Q7" i="1"/>
  <c r="O7" i="1"/>
  <c r="P13" i="1" s="1"/>
  <c r="M7" i="1"/>
  <c r="U6" i="1"/>
  <c r="S6" i="1"/>
  <c r="Q6" i="1"/>
  <c r="O6" i="1"/>
  <c r="M6" i="1"/>
  <c r="U5" i="1"/>
  <c r="S5" i="1"/>
  <c r="Q5" i="1"/>
  <c r="O5" i="1"/>
  <c r="M5" i="1"/>
  <c r="U4" i="1"/>
  <c r="S4" i="1"/>
  <c r="T13" i="1" s="1"/>
  <c r="Q4" i="1"/>
  <c r="R13" i="1" s="1"/>
  <c r="O4" i="1"/>
  <c r="P14" i="1" s="1"/>
  <c r="M4" i="1"/>
  <c r="N14" i="1" s="1"/>
  <c r="W3" i="1"/>
  <c r="U3" i="1"/>
  <c r="S3" i="1"/>
  <c r="T14" i="1" s="1"/>
  <c r="Q3" i="1"/>
  <c r="O3" i="1"/>
  <c r="M3" i="1"/>
</calcChain>
</file>

<file path=xl/sharedStrings.xml><?xml version="1.0" encoding="utf-8"?>
<sst xmlns="http://schemas.openxmlformats.org/spreadsheetml/2006/main" count="30" uniqueCount="16">
  <si>
    <t>Pressure</t>
  </si>
  <si>
    <t>MCP IND. PATTERN/S1</t>
  </si>
  <si>
    <t>PIP Seq. Pattern S1</t>
  </si>
  <si>
    <t>Dip. Seq. Pattern S1</t>
  </si>
  <si>
    <t>PIP Ind. Pattern</t>
  </si>
  <si>
    <t xml:space="preserve">DIP  Ind. Pattern </t>
  </si>
  <si>
    <t>MCP Sim. Pattern</t>
  </si>
  <si>
    <t>PIP Sim. Pattern</t>
  </si>
  <si>
    <t>DIP Sim. Pattern</t>
  </si>
  <si>
    <t>MCP</t>
  </si>
  <si>
    <t>PIP</t>
  </si>
  <si>
    <t>DIP</t>
  </si>
  <si>
    <t>Variance</t>
  </si>
  <si>
    <t>Average</t>
  </si>
  <si>
    <t>Range(・E・E)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</si>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</sst>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CE13-1488-47DF-8315-988C3F6049C1}">
  <dimension ref="A1:X14"/>
  <sheetViews>
    <sheetView tabSelected="1" workbookViewId="0">
      <selection activeCell="H28" sqref="H28"/>
    </sheetView>
  </sheetViews>
  <sheetFormatPr defaultRowHeight="13.2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M1" t="s">
        <v>9</v>
      </c>
      <c r="O1" t="s">
        <v>10</v>
      </c>
      <c r="Q1" t="s">
        <v>11</v>
      </c>
      <c r="S1" t="s">
        <v>9</v>
      </c>
      <c r="U1" t="s">
        <v>10</v>
      </c>
      <c r="W1" t="s">
        <v>11</v>
      </c>
    </row>
    <row r="2" spans="1:2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L2" t="s">
        <v>0</v>
      </c>
      <c r="M2" t="s">
        <v>12</v>
      </c>
      <c r="N2" t="s">
        <v>13</v>
      </c>
      <c r="O2" t="s">
        <v>12</v>
      </c>
      <c r="P2" t="s">
        <v>13</v>
      </c>
      <c r="Q2" t="s">
        <v>12</v>
      </c>
      <c r="R2" t="s">
        <v>13</v>
      </c>
      <c r="S2" t="s">
        <v>14</v>
      </c>
      <c r="T2" t="s">
        <v>13</v>
      </c>
      <c r="U2" t="s">
        <v>14</v>
      </c>
      <c r="V2" t="s">
        <v>13</v>
      </c>
      <c r="W2" t="s">
        <v>14</v>
      </c>
      <c r="X2" t="s">
        <v>13</v>
      </c>
    </row>
    <row r="3" spans="1:24" x14ac:dyDescent="0.2">
      <c r="A3">
        <v>10000</v>
      </c>
      <c r="B3">
        <v>3.1425424469999999</v>
      </c>
      <c r="C3">
        <v>2.7211933070000001</v>
      </c>
      <c r="D3">
        <v>1.8459054100000001</v>
      </c>
      <c r="E3">
        <v>2.7604447749999999</v>
      </c>
      <c r="F3">
        <v>2.0466463259999998</v>
      </c>
      <c r="G3">
        <v>3.0606054939999998</v>
      </c>
      <c r="H3">
        <v>3.0528745609999999</v>
      </c>
      <c r="I3">
        <v>2.1013123930000002</v>
      </c>
      <c r="L3">
        <v>0</v>
      </c>
      <c r="M3">
        <f>_xlfn.VAR.S(B2,G2)</f>
        <v>0</v>
      </c>
      <c r="O3">
        <f>_xlfn.VAR.S(C2,H2,E2)</f>
        <v>0</v>
      </c>
      <c r="Q3">
        <f>_xlfn.VAR.S(D2,I2,F2)</f>
        <v>0</v>
      </c>
      <c r="S3">
        <f>MAX(B2,G2)-MIN(B2,G2)</f>
        <v>0</v>
      </c>
      <c r="U3">
        <f>MAX(C2,H2,E2)-MIN(C2,H2,E2)</f>
        <v>0</v>
      </c>
      <c r="W3">
        <f>MAX(D2,I2,F2)-MIN(D2,I2,F2)</f>
        <v>0</v>
      </c>
    </row>
    <row r="4" spans="1:24" x14ac:dyDescent="0.2">
      <c r="A4">
        <v>20000</v>
      </c>
      <c r="B4">
        <v>6.8531477929999998</v>
      </c>
      <c r="C4">
        <v>5.9491558449999999</v>
      </c>
      <c r="D4">
        <v>4.1134793070000004</v>
      </c>
      <c r="E4">
        <v>5.889901353</v>
      </c>
      <c r="F4">
        <v>4.4431559619999996</v>
      </c>
      <c r="G4">
        <v>6.9555930970000004</v>
      </c>
      <c r="H4">
        <v>6.1037375479999998</v>
      </c>
      <c r="I4">
        <v>4.4705901880000001</v>
      </c>
      <c r="L4">
        <v>10000</v>
      </c>
      <c r="M4">
        <f t="shared" ref="M4:M13" si="0">_xlfn.VAR.S(B3,G3)</f>
        <v>3.3568321334621074E-3</v>
      </c>
      <c r="O4">
        <f t="shared" ref="O4:O14" si="1">_xlfn.VAR.S(C3,H3,E3)</f>
        <v>3.2844718622528864E-2</v>
      </c>
      <c r="Q4">
        <f t="shared" ref="Q4:Q14" si="2">_xlfn.VAR.S(D3,I3,F3)</f>
        <v>1.8086336867154971E-2</v>
      </c>
      <c r="S4">
        <f t="shared" ref="S4:S14" si="3">MAX(B3,G3)-MIN(B3,G3)</f>
        <v>8.1936953000000035E-2</v>
      </c>
      <c r="U4">
        <f t="shared" ref="U4:U14" si="4">MAX(C3,H3,E3)-MIN(C3,H3,E3)</f>
        <v>0.33168125399999981</v>
      </c>
      <c r="W4">
        <v>0.27334368100000001</v>
      </c>
    </row>
    <row r="5" spans="1:24" x14ac:dyDescent="0.2">
      <c r="A5">
        <v>30000</v>
      </c>
      <c r="B5">
        <v>11.104035400000001</v>
      </c>
      <c r="C5">
        <v>9.4710035930000007</v>
      </c>
      <c r="D5">
        <v>6.9381395589999997</v>
      </c>
      <c r="E5">
        <v>9.4253595449999992</v>
      </c>
      <c r="F5">
        <v>7.2081254100000001</v>
      </c>
      <c r="G5">
        <v>11.32902185</v>
      </c>
      <c r="H5">
        <v>9.6442744900000008</v>
      </c>
      <c r="I5">
        <v>7.2083513249999998</v>
      </c>
      <c r="L5">
        <v>20000</v>
      </c>
      <c r="M5">
        <f t="shared" si="0"/>
        <v>5.2475201558262723E-3</v>
      </c>
      <c r="O5">
        <f t="shared" si="1"/>
        <v>1.2188752669439364E-2</v>
      </c>
      <c r="Q5">
        <f t="shared" si="2"/>
        <v>3.9494585822800583E-2</v>
      </c>
      <c r="S5">
        <f t="shared" si="3"/>
        <v>0.10244530400000063</v>
      </c>
      <c r="U5">
        <f t="shared" si="4"/>
        <v>0.21383619499999984</v>
      </c>
      <c r="W5">
        <v>0.42367957499999997</v>
      </c>
    </row>
    <row r="6" spans="1:24" x14ac:dyDescent="0.2">
      <c r="A6">
        <v>40000</v>
      </c>
      <c r="B6">
        <v>15.9626953</v>
      </c>
      <c r="C6">
        <v>13.8580962</v>
      </c>
      <c r="D6">
        <v>9.9952223310000008</v>
      </c>
      <c r="E6">
        <v>13.55516712</v>
      </c>
      <c r="F6">
        <v>10.41694115</v>
      </c>
      <c r="G6">
        <v>16.052305140000001</v>
      </c>
      <c r="H6">
        <v>13.602003870000001</v>
      </c>
      <c r="I6">
        <v>10.262283070000001</v>
      </c>
      <c r="L6">
        <v>30000</v>
      </c>
      <c r="M6">
        <f t="shared" si="0"/>
        <v>2.5309451341801115E-2</v>
      </c>
      <c r="O6">
        <f t="shared" si="1"/>
        <v>1.333832266822747E-2</v>
      </c>
      <c r="Q6">
        <f t="shared" si="2"/>
        <v>2.4317801543770071E-2</v>
      </c>
      <c r="S6">
        <f t="shared" si="3"/>
        <v>0.22498644999999939</v>
      </c>
      <c r="U6">
        <f t="shared" si="4"/>
        <v>0.21891494500000164</v>
      </c>
      <c r="W6">
        <v>0.51278527200000001</v>
      </c>
    </row>
    <row r="7" spans="1:24" x14ac:dyDescent="0.2">
      <c r="A7">
        <v>50000</v>
      </c>
      <c r="B7">
        <v>21.641686069999999</v>
      </c>
      <c r="C7">
        <v>18.67112822</v>
      </c>
      <c r="D7">
        <v>13.5588085</v>
      </c>
      <c r="E7">
        <v>18.215610030000001</v>
      </c>
      <c r="F7">
        <v>14.15333066</v>
      </c>
      <c r="G7">
        <v>21.83202562</v>
      </c>
      <c r="H7">
        <v>18.59583851</v>
      </c>
      <c r="I7">
        <v>14.1191447</v>
      </c>
      <c r="L7">
        <v>40000</v>
      </c>
      <c r="M7">
        <f t="shared" si="0"/>
        <v>4.0149617124129238E-3</v>
      </c>
      <c r="O7">
        <f t="shared" si="1"/>
        <v>2.6590498357506289E-2</v>
      </c>
      <c r="Q7">
        <f t="shared" si="2"/>
        <v>4.5514553720544297E-2</v>
      </c>
      <c r="S7">
        <f t="shared" si="3"/>
        <v>8.9609840000001384E-2</v>
      </c>
      <c r="U7">
        <f t="shared" si="4"/>
        <v>0.30292908000000018</v>
      </c>
      <c r="W7">
        <v>0.88740774499999997</v>
      </c>
    </row>
    <row r="8" spans="1:24" x14ac:dyDescent="0.2">
      <c r="A8">
        <v>60000</v>
      </c>
      <c r="B8">
        <v>28.134301359999998</v>
      </c>
      <c r="C8">
        <v>24.190783159999999</v>
      </c>
      <c r="D8">
        <v>18.216577239999999</v>
      </c>
      <c r="E8">
        <v>23.765786110000001</v>
      </c>
      <c r="F8">
        <v>18.467871120000002</v>
      </c>
      <c r="G8">
        <v>28.32926453</v>
      </c>
      <c r="H8">
        <v>24.364508430000001</v>
      </c>
      <c r="I8">
        <v>18.477487679999999</v>
      </c>
      <c r="L8">
        <v>50000</v>
      </c>
      <c r="M8">
        <f t="shared" si="0"/>
        <v>1.8114572147101424E-2</v>
      </c>
      <c r="O8">
        <f t="shared" si="1"/>
        <v>5.9623176475978278E-2</v>
      </c>
      <c r="Q8">
        <f t="shared" si="2"/>
        <v>0.11143365593710462</v>
      </c>
      <c r="S8">
        <f t="shared" si="3"/>
        <v>0.19033955000000091</v>
      </c>
      <c r="U8">
        <f t="shared" si="4"/>
        <v>0.45551818999999938</v>
      </c>
      <c r="W8">
        <v>0.73956829000000002</v>
      </c>
    </row>
    <row r="9" spans="1:24" x14ac:dyDescent="0.2">
      <c r="A9">
        <v>70000</v>
      </c>
      <c r="B9">
        <v>35.79435101</v>
      </c>
      <c r="C9">
        <v>30.68921009</v>
      </c>
      <c r="D9">
        <v>23.299700049999998</v>
      </c>
      <c r="E9">
        <v>30.014164480000002</v>
      </c>
      <c r="F9">
        <v>23.455751379999999</v>
      </c>
      <c r="G9">
        <v>35.738024459999998</v>
      </c>
      <c r="H9">
        <v>31.015156260000001</v>
      </c>
      <c r="I9">
        <v>23.42719043</v>
      </c>
      <c r="L9">
        <v>60000</v>
      </c>
      <c r="M9">
        <f t="shared" si="0"/>
        <v>1.900531882822468E-2</v>
      </c>
      <c r="O9">
        <f t="shared" si="1"/>
        <v>9.4878563068576213E-2</v>
      </c>
      <c r="Q9">
        <f t="shared" si="2"/>
        <v>2.1885891675447106E-2</v>
      </c>
      <c r="S9">
        <f t="shared" si="3"/>
        <v>0.19496317000000118</v>
      </c>
      <c r="U9">
        <f t="shared" si="4"/>
        <v>0.59872232000000025</v>
      </c>
      <c r="W9">
        <v>0.84515220000000002</v>
      </c>
    </row>
    <row r="10" spans="1:24" x14ac:dyDescent="0.2">
      <c r="A10">
        <v>80000</v>
      </c>
      <c r="B10">
        <v>44.601509409999998</v>
      </c>
      <c r="C10">
        <v>37.68139867</v>
      </c>
      <c r="D10">
        <v>29.180208499999999</v>
      </c>
      <c r="E10">
        <v>37.009856329999998</v>
      </c>
      <c r="F10">
        <v>29.120200860000001</v>
      </c>
      <c r="G10">
        <v>41.485034659999997</v>
      </c>
      <c r="H10">
        <v>36.495843000000001</v>
      </c>
      <c r="I10">
        <v>27.54379037</v>
      </c>
      <c r="L10">
        <v>70000</v>
      </c>
      <c r="M10">
        <f t="shared" si="0"/>
        <v>1.5863401174513298E-3</v>
      </c>
      <c r="O10">
        <f t="shared" si="1"/>
        <v>0.26065200415758449</v>
      </c>
      <c r="Q10">
        <f t="shared" si="2"/>
        <v>6.9035904087026926E-3</v>
      </c>
      <c r="S10">
        <f t="shared" si="3"/>
        <v>5.6326550000001419E-2</v>
      </c>
      <c r="U10">
        <f t="shared" si="4"/>
        <v>1.0009917799999997</v>
      </c>
      <c r="W10">
        <v>0.86014581000000001</v>
      </c>
    </row>
    <row r="11" spans="1:24" x14ac:dyDescent="0.2">
      <c r="A11">
        <v>90000</v>
      </c>
      <c r="B11">
        <v>54.366732990000003</v>
      </c>
      <c r="C11">
        <v>46.563234190000003</v>
      </c>
      <c r="D11">
        <v>35.327957609999999</v>
      </c>
      <c r="E11">
        <v>44.555853829999997</v>
      </c>
      <c r="F11">
        <v>35.24663082</v>
      </c>
      <c r="G11">
        <v>53.172318330000003</v>
      </c>
      <c r="H11">
        <v>47.686182240000001</v>
      </c>
      <c r="I11">
        <v>35.596091870000002</v>
      </c>
      <c r="L11">
        <v>80000</v>
      </c>
      <c r="M11">
        <f t="shared" si="0"/>
        <v>4.856207433693787</v>
      </c>
      <c r="O11">
        <f t="shared" si="1"/>
        <v>0.35345351074991871</v>
      </c>
      <c r="Q11">
        <f t="shared" si="2"/>
        <v>0.86108920767218433</v>
      </c>
      <c r="S11">
        <f t="shared" si="3"/>
        <v>3.1164747500000018</v>
      </c>
      <c r="U11">
        <f t="shared" si="4"/>
        <v>1.1855556699999994</v>
      </c>
      <c r="W11">
        <v>0.83540455999999996</v>
      </c>
    </row>
    <row r="12" spans="1:24" x14ac:dyDescent="0.2">
      <c r="A12">
        <v>100000</v>
      </c>
      <c r="B12">
        <v>64.467391169999999</v>
      </c>
      <c r="C12">
        <v>55.912971460000001</v>
      </c>
      <c r="D12">
        <v>42.395660839999998</v>
      </c>
      <c r="E12">
        <v>52.552025229999998</v>
      </c>
      <c r="F12">
        <v>41.85421556</v>
      </c>
      <c r="G12">
        <v>63.270599799999999</v>
      </c>
      <c r="H12">
        <v>57.998351919999998</v>
      </c>
      <c r="I12">
        <v>42.116194890000003</v>
      </c>
      <c r="L12">
        <v>90000</v>
      </c>
      <c r="M12">
        <f t="shared" si="0"/>
        <v>0.71331319001145732</v>
      </c>
      <c r="O12">
        <f t="shared" si="1"/>
        <v>2.5149240311942842</v>
      </c>
      <c r="Q12">
        <f t="shared" si="2"/>
        <v>3.3438842270759564E-2</v>
      </c>
      <c r="S12">
        <f t="shared" si="3"/>
        <v>1.1944146599999996</v>
      </c>
      <c r="U12">
        <f t="shared" si="4"/>
        <v>3.1303284100000042</v>
      </c>
      <c r="W12">
        <v>1.0708342900000001</v>
      </c>
    </row>
    <row r="13" spans="1:24" x14ac:dyDescent="0.2">
      <c r="A13" t="s">
        <v>15</v>
      </c>
      <c r="B13">
        <v>64.240468273181406</v>
      </c>
      <c r="C13">
        <v>56.509808015317887</v>
      </c>
      <c r="D13">
        <v>42.395660839999998</v>
      </c>
      <c r="L13">
        <v>100000</v>
      </c>
      <c r="M13">
        <f t="shared" si="0"/>
        <v>0.71615479165323803</v>
      </c>
      <c r="N13">
        <f>AVERAGE(M3:M13)</f>
        <v>0.57839185561770567</v>
      </c>
      <c r="O13">
        <f t="shared" si="1"/>
        <v>7.5512076063512295</v>
      </c>
      <c r="P13">
        <f>AVERAGE(O3:O13)</f>
        <v>0.9927001076650247</v>
      </c>
      <c r="Q13">
        <f t="shared" si="2"/>
        <v>7.3316229631821023E-2</v>
      </c>
      <c r="R13">
        <f>AVERAGE(Q3:Q13)</f>
        <v>0.11231642686820814</v>
      </c>
      <c r="S13">
        <f t="shared" si="3"/>
        <v>1.1967913699999997</v>
      </c>
      <c r="T13">
        <f>AVERAGE(S3:S13)</f>
        <v>0.58620805427272782</v>
      </c>
      <c r="U13">
        <f t="shared" si="4"/>
        <v>5.4463266899999994</v>
      </c>
      <c r="V13">
        <v>0.58588979500000005</v>
      </c>
      <c r="W13">
        <v>1.7139413100000001</v>
      </c>
      <c r="X13">
        <v>0.74202388500000005</v>
      </c>
    </row>
    <row r="14" spans="1:24" x14ac:dyDescent="0.2">
      <c r="L14" t="s">
        <v>15</v>
      </c>
      <c r="M14">
        <f>_xlfn.VAR.S(B13,B12,G12)</f>
        <v>0.40407473994637522</v>
      </c>
      <c r="N14">
        <f>AVERAGE(M3:M14)</f>
        <v>0.56386542931176142</v>
      </c>
      <c r="O14">
        <f>_xlfn.VAR.S(C13,H12,E12,C12)</f>
        <v>5.2952722536496655</v>
      </c>
      <c r="P14">
        <f>AVERAGE(O3:O14)</f>
        <v>1.351247786497078</v>
      </c>
      <c r="Q14">
        <f>_xlfn.VAR.S(D13,I12,F12)</f>
        <v>7.3316229631821023E-2</v>
      </c>
      <c r="S14">
        <f>MAX(B13,G12,B12)-MIN(B13,G12,B12)</f>
        <v>1.1967913699999997</v>
      </c>
      <c r="T14">
        <f>AVERAGE(S3:S14)</f>
        <v>0.63708999725000048</v>
      </c>
      <c r="U14">
        <f>MAX(C12,H12,E12,C13)-MIN(C12,H12,E12,C13)</f>
        <v>5.4463266899999994</v>
      </c>
      <c r="V14">
        <v>0.669299749</v>
      </c>
      <c r="W14">
        <v>1.7139413100000001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DFSA-IAM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Tortos</dc:creator>
  <cp:lastModifiedBy>Pablo Tortos</cp:lastModifiedBy>
  <dcterms:created xsi:type="dcterms:W3CDTF">2025-01-03T13:19:21Z</dcterms:created>
  <dcterms:modified xsi:type="dcterms:W3CDTF">2025-01-03T13:19:38Z</dcterms:modified>
</cp:coreProperties>
</file>