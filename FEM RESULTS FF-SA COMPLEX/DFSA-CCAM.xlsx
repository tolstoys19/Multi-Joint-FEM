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JournalRAL2\Repository\FEM RESULTS FF-SA COMPLEX\"/>
    </mc:Choice>
  </mc:AlternateContent>
  <xr:revisionPtr revIDLastSave="0" documentId="8_{0CE7C526-29E7-450E-9CB0-96130A897DDA}" xr6:coauthVersionLast="47" xr6:coauthVersionMax="47" xr10:uidLastSave="{00000000-0000-0000-0000-000000000000}"/>
  <bookViews>
    <workbookView xWindow="-108" yWindow="-108" windowWidth="23256" windowHeight="12456" xr2:uid="{9C1EE2F8-5D69-47C0-8422-E74DFF0BCAE2}"/>
  </bookViews>
  <sheets>
    <sheet name="DFSA-CC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S14" i="1"/>
  <c r="Q14" i="1"/>
  <c r="O14" i="1"/>
  <c r="M14" i="1"/>
  <c r="U13" i="1"/>
  <c r="S13" i="1"/>
  <c r="Q13" i="1"/>
  <c r="O13" i="1"/>
  <c r="M13" i="1"/>
  <c r="U12" i="1"/>
  <c r="S12" i="1"/>
  <c r="Q12" i="1"/>
  <c r="O12" i="1"/>
  <c r="M12" i="1"/>
  <c r="U11" i="1"/>
  <c r="S11" i="1"/>
  <c r="Q11" i="1"/>
  <c r="O11" i="1"/>
  <c r="M11" i="1"/>
  <c r="U10" i="1"/>
  <c r="S10" i="1"/>
  <c r="Q10" i="1"/>
  <c r="O10" i="1"/>
  <c r="M10" i="1"/>
  <c r="N13" i="1" s="1"/>
  <c r="U9" i="1"/>
  <c r="S9" i="1"/>
  <c r="Q9" i="1"/>
  <c r="O9" i="1"/>
  <c r="M9" i="1"/>
  <c r="U8" i="1"/>
  <c r="S8" i="1"/>
  <c r="Q8" i="1"/>
  <c r="O8" i="1"/>
  <c r="M8" i="1"/>
  <c r="U7" i="1"/>
  <c r="S7" i="1"/>
  <c r="Q7" i="1"/>
  <c r="O7" i="1"/>
  <c r="P13" i="1" s="1"/>
  <c r="M7" i="1"/>
  <c r="U6" i="1"/>
  <c r="S6" i="1"/>
  <c r="Q6" i="1"/>
  <c r="O6" i="1"/>
  <c r="M6" i="1"/>
  <c r="U5" i="1"/>
  <c r="S5" i="1"/>
  <c r="Q5" i="1"/>
  <c r="O5" i="1"/>
  <c r="M5" i="1"/>
  <c r="U4" i="1"/>
  <c r="S4" i="1"/>
  <c r="T13" i="1" s="1"/>
  <c r="Q4" i="1"/>
  <c r="R13" i="1" s="1"/>
  <c r="O4" i="1"/>
  <c r="M4" i="1"/>
  <c r="N14" i="1" s="1"/>
  <c r="W3" i="1"/>
  <c r="U3" i="1"/>
  <c r="S3" i="1"/>
  <c r="T14" i="1" s="1"/>
  <c r="Q3" i="1"/>
  <c r="O3" i="1"/>
  <c r="P14" i="1" s="1"/>
  <c r="M3" i="1"/>
</calcChain>
</file>

<file path=xl/sharedStrings.xml><?xml version="1.0" encoding="utf-8"?>
<sst xmlns="http://schemas.openxmlformats.org/spreadsheetml/2006/main" count="29" uniqueCount="16">
  <si>
    <t>MCP IND. PATTERN/S1</t>
  </si>
  <si>
    <t>PIP Seq. Pattern S1</t>
  </si>
  <si>
    <t>Dip. Seq. Pattern S1</t>
  </si>
  <si>
    <t>PIP Ind. Pattern</t>
  </si>
  <si>
    <t xml:space="preserve">DIP  Ind. Pattern </t>
  </si>
  <si>
    <t>MCP Sim. Pattern</t>
  </si>
  <si>
    <t>PIP Sim. Pattern</t>
  </si>
  <si>
    <t>DIP Sim. Pattern</t>
  </si>
  <si>
    <t>MCP</t>
  </si>
  <si>
    <t>PIP</t>
  </si>
  <si>
    <t>DIP</t>
  </si>
  <si>
    <t>Pressure</t>
  </si>
  <si>
    <t>Variance</t>
  </si>
  <si>
    <t>Average</t>
  </si>
  <si>
    <t>Range(・E・E)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</si>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</sst>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1093-4314-450F-AF50-200E3B8775EF}">
  <dimension ref="A1:X14"/>
  <sheetViews>
    <sheetView tabSelected="1" workbookViewId="0">
      <selection activeCell="N18" sqref="N18"/>
    </sheetView>
  </sheetViews>
  <sheetFormatPr defaultRowHeight="13.2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M1" t="s">
        <v>8</v>
      </c>
      <c r="O1" t="s">
        <v>9</v>
      </c>
      <c r="Q1" t="s">
        <v>10</v>
      </c>
      <c r="S1" t="s">
        <v>8</v>
      </c>
      <c r="U1" t="s">
        <v>9</v>
      </c>
      <c r="W1" t="s">
        <v>10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L2" t="s">
        <v>11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  <c r="X2" t="s">
        <v>13</v>
      </c>
    </row>
    <row r="3" spans="1:24" x14ac:dyDescent="0.2">
      <c r="A3">
        <v>10000</v>
      </c>
      <c r="B3">
        <v>2.6649989220000001</v>
      </c>
      <c r="C3">
        <v>2.4388633999999998</v>
      </c>
      <c r="D3">
        <v>1.768949554</v>
      </c>
      <c r="E3">
        <v>2.5716536809999999</v>
      </c>
      <c r="F3">
        <v>1.9599931589999999</v>
      </c>
      <c r="G3">
        <v>2.6465445719999998</v>
      </c>
      <c r="H3">
        <v>2.848918812</v>
      </c>
      <c r="I3">
        <v>2.0422932349999998</v>
      </c>
      <c r="L3">
        <v>0</v>
      </c>
      <c r="M3">
        <f>_xlfn.VAR.S(B2,G2)</f>
        <v>0</v>
      </c>
      <c r="O3">
        <f>_xlfn.VAR.S(C2,H2,E2)</f>
        <v>0</v>
      </c>
      <c r="Q3">
        <f>_xlfn.VAR.S(D2,I2,F2)</f>
        <v>0</v>
      </c>
      <c r="S3">
        <f>MAX(B2,G2)-MIN(B2,G2)</f>
        <v>0</v>
      </c>
      <c r="U3">
        <f>MAX(C2,H2,E2)-MIN(C2,H2,E2)</f>
        <v>0</v>
      </c>
      <c r="W3">
        <f>MAX(D2,I2,F2)-MIN(D2,I2,F2)</f>
        <v>0</v>
      </c>
    </row>
    <row r="4" spans="1:24" x14ac:dyDescent="0.2">
      <c r="A4">
        <v>20000</v>
      </c>
      <c r="B4">
        <v>5.8459911910000004</v>
      </c>
      <c r="C4">
        <v>5.2870535849999998</v>
      </c>
      <c r="D4">
        <v>3.883000842</v>
      </c>
      <c r="E4">
        <v>5.4657480070000002</v>
      </c>
      <c r="F4">
        <v>4.2099744079999999</v>
      </c>
      <c r="G4">
        <v>5.9386964359999999</v>
      </c>
      <c r="H4">
        <v>5.6766808400000004</v>
      </c>
      <c r="I4">
        <v>4.3066804169999999</v>
      </c>
      <c r="L4">
        <v>10000</v>
      </c>
      <c r="M4">
        <f t="shared" ref="M4:M13" si="0">_xlfn.VAR.S(B3,G3)</f>
        <v>1.7028151696125526E-4</v>
      </c>
      <c r="O4">
        <f t="shared" ref="O4:O14" si="1">_xlfn.VAR.S(C3,H3,E3)</f>
        <v>4.3775775417832681E-2</v>
      </c>
      <c r="Q4">
        <f t="shared" ref="Q4:Q14" si="2">_xlfn.VAR.S(D3,I3,F3)</f>
        <v>1.9664621577271904E-2</v>
      </c>
      <c r="S4">
        <f t="shared" ref="S4:S14" si="3">MAX(B3,G3)-MIN(B3,G3)</f>
        <v>1.8454350000000286E-2</v>
      </c>
      <c r="U4">
        <f t="shared" ref="U4:U14" si="4">MAX(C3,H3,E3)-MIN(C3,H3,E3)</f>
        <v>0.41005541200000017</v>
      </c>
      <c r="W4">
        <v>0.27334368100000001</v>
      </c>
    </row>
    <row r="5" spans="1:24" x14ac:dyDescent="0.2">
      <c r="A5">
        <v>30000</v>
      </c>
      <c r="B5">
        <v>9.4612379959999995</v>
      </c>
      <c r="C5">
        <v>8.5237132179999993</v>
      </c>
      <c r="D5">
        <v>6.3823166430000002</v>
      </c>
      <c r="E5">
        <v>8.7510490260000005</v>
      </c>
      <c r="F5">
        <v>6.781116967</v>
      </c>
      <c r="G5">
        <v>9.6237809900000002</v>
      </c>
      <c r="H5">
        <v>8.9138960610000009</v>
      </c>
      <c r="I5">
        <v>6.8951019149999997</v>
      </c>
      <c r="L5">
        <v>20000</v>
      </c>
      <c r="M5">
        <f t="shared" si="0"/>
        <v>4.2971312252549606E-3</v>
      </c>
      <c r="O5">
        <f t="shared" si="1"/>
        <v>3.8038959055025953E-2</v>
      </c>
      <c r="Q5">
        <f t="shared" si="2"/>
        <v>4.9294691218607502E-2</v>
      </c>
      <c r="S5">
        <f t="shared" si="3"/>
        <v>9.2705244999999437E-2</v>
      </c>
      <c r="U5">
        <f t="shared" si="4"/>
        <v>0.38962725500000062</v>
      </c>
      <c r="W5">
        <v>0.42367957499999997</v>
      </c>
    </row>
    <row r="6" spans="1:24" x14ac:dyDescent="0.2">
      <c r="A6">
        <v>40000</v>
      </c>
      <c r="B6">
        <v>13.5788309</v>
      </c>
      <c r="C6">
        <v>12.211047089999999</v>
      </c>
      <c r="D6">
        <v>8.9885825140000009</v>
      </c>
      <c r="E6">
        <v>12.519499489999999</v>
      </c>
      <c r="F6">
        <v>9.7065264330000005</v>
      </c>
      <c r="G6">
        <v>13.80373949</v>
      </c>
      <c r="H6">
        <v>12.64775363</v>
      </c>
      <c r="I6">
        <v>9.8759902589999999</v>
      </c>
      <c r="L6">
        <v>30000</v>
      </c>
      <c r="M6">
        <f t="shared" si="0"/>
        <v>1.3210112449242136E-2</v>
      </c>
      <c r="O6">
        <f t="shared" si="1"/>
        <v>3.8407229563144782E-2</v>
      </c>
      <c r="Q6">
        <f t="shared" si="2"/>
        <v>7.2497166995530132E-2</v>
      </c>
      <c r="S6">
        <f t="shared" si="3"/>
        <v>0.16254299400000072</v>
      </c>
      <c r="U6">
        <f t="shared" si="4"/>
        <v>0.39018284300000161</v>
      </c>
      <c r="W6">
        <v>0.51278527200000001</v>
      </c>
    </row>
    <row r="7" spans="1:24" x14ac:dyDescent="0.2">
      <c r="A7">
        <v>50000</v>
      </c>
      <c r="B7">
        <v>18.240970189999999</v>
      </c>
      <c r="C7">
        <v>16.352950119999999</v>
      </c>
      <c r="D7">
        <v>12.57007918</v>
      </c>
      <c r="E7">
        <v>16.798180739999999</v>
      </c>
      <c r="F7">
        <v>13.05148101</v>
      </c>
      <c r="G7">
        <v>18.457437809999998</v>
      </c>
      <c r="H7">
        <v>16.930144810000002</v>
      </c>
      <c r="I7">
        <v>13.30964747</v>
      </c>
      <c r="L7">
        <v>40000</v>
      </c>
      <c r="M7">
        <f t="shared" si="0"/>
        <v>2.5291936927894068E-2</v>
      </c>
      <c r="O7">
        <f t="shared" si="1"/>
        <v>5.0384101595278764E-2</v>
      </c>
      <c r="Q7">
        <f t="shared" si="2"/>
        <v>0.22194232750626991</v>
      </c>
      <c r="S7">
        <f t="shared" si="3"/>
        <v>0.22490859000000007</v>
      </c>
      <c r="U7">
        <f t="shared" si="4"/>
        <v>0.4367065400000012</v>
      </c>
      <c r="W7">
        <v>0.88740774499999997</v>
      </c>
    </row>
    <row r="8" spans="1:24" x14ac:dyDescent="0.2">
      <c r="A8">
        <v>60000</v>
      </c>
      <c r="B8">
        <v>23.570253879999999</v>
      </c>
      <c r="C8">
        <v>21.32152597</v>
      </c>
      <c r="D8">
        <v>16.408689620000001</v>
      </c>
      <c r="E8">
        <v>21.710841760000001</v>
      </c>
      <c r="F8">
        <v>16.87673474</v>
      </c>
      <c r="G8">
        <v>23.799496820000002</v>
      </c>
      <c r="H8">
        <v>21.89908835</v>
      </c>
      <c r="I8">
        <v>17.253841820000002</v>
      </c>
      <c r="L8">
        <v>50000</v>
      </c>
      <c r="M8">
        <f t="shared" si="0"/>
        <v>2.3429115254232098E-2</v>
      </c>
      <c r="O8">
        <f t="shared" si="1"/>
        <v>9.1466421820124849E-2</v>
      </c>
      <c r="Q8">
        <f t="shared" si="2"/>
        <v>0.14089314976163383</v>
      </c>
      <c r="S8">
        <f t="shared" si="3"/>
        <v>0.21646761999999953</v>
      </c>
      <c r="U8">
        <f t="shared" si="4"/>
        <v>0.57719469000000245</v>
      </c>
      <c r="W8">
        <v>0.73956829000000002</v>
      </c>
    </row>
    <row r="9" spans="1:24" x14ac:dyDescent="0.2">
      <c r="A9">
        <v>70000</v>
      </c>
      <c r="B9">
        <v>29.570984549999999</v>
      </c>
      <c r="C9">
        <v>26.998637739999999</v>
      </c>
      <c r="D9">
        <v>20.799036229999999</v>
      </c>
      <c r="E9">
        <v>27.328579619999999</v>
      </c>
      <c r="F9">
        <v>21.196551410000001</v>
      </c>
      <c r="G9">
        <v>29.580317999999998</v>
      </c>
      <c r="H9">
        <v>27.507714929999999</v>
      </c>
      <c r="I9">
        <v>21.659182040000001</v>
      </c>
      <c r="L9">
        <v>60000</v>
      </c>
      <c r="M9">
        <f t="shared" si="0"/>
        <v>2.6276162769922361E-2</v>
      </c>
      <c r="O9">
        <f t="shared" si="1"/>
        <v>8.6763644296869474E-2</v>
      </c>
      <c r="Q9">
        <f t="shared" si="2"/>
        <v>0.17925970421779724</v>
      </c>
      <c r="S9">
        <f t="shared" si="3"/>
        <v>0.22924294000000245</v>
      </c>
      <c r="U9">
        <f t="shared" si="4"/>
        <v>0.57756237999999982</v>
      </c>
      <c r="W9">
        <v>0.84515220000000002</v>
      </c>
    </row>
    <row r="10" spans="1:24" x14ac:dyDescent="0.2">
      <c r="A10">
        <v>80000</v>
      </c>
      <c r="B10">
        <v>36.457114709999999</v>
      </c>
      <c r="C10">
        <v>33.508872660000002</v>
      </c>
      <c r="D10">
        <v>25.884925580000001</v>
      </c>
      <c r="E10">
        <v>33.733445740000001</v>
      </c>
      <c r="F10">
        <v>26.172420800000001</v>
      </c>
      <c r="G10">
        <v>36.117892349999998</v>
      </c>
      <c r="H10">
        <v>33.994218539999999</v>
      </c>
      <c r="I10">
        <v>26.720330140000002</v>
      </c>
      <c r="L10">
        <v>70000</v>
      </c>
      <c r="M10">
        <f t="shared" si="0"/>
        <v>4.3556644451247603E-5</v>
      </c>
      <c r="O10">
        <f t="shared" si="1"/>
        <v>6.6685114807504275E-2</v>
      </c>
      <c r="Q10">
        <f t="shared" si="2"/>
        <v>0.18531603876753186</v>
      </c>
      <c r="S10">
        <f t="shared" si="3"/>
        <v>9.3334499999997433E-3</v>
      </c>
      <c r="U10">
        <f t="shared" si="4"/>
        <v>0.50907718999999929</v>
      </c>
      <c r="W10">
        <v>0.86014581000000001</v>
      </c>
    </row>
    <row r="11" spans="1:24" x14ac:dyDescent="0.2">
      <c r="A11">
        <v>90000</v>
      </c>
      <c r="B11">
        <v>44.058875110000002</v>
      </c>
      <c r="C11">
        <v>40.91599042</v>
      </c>
      <c r="D11">
        <v>31.69436361</v>
      </c>
      <c r="E11">
        <v>40.610703479999998</v>
      </c>
      <c r="F11">
        <v>31.793606530000002</v>
      </c>
      <c r="G11">
        <v>43.787184060000001</v>
      </c>
      <c r="H11">
        <v>41.69292978</v>
      </c>
      <c r="I11">
        <v>32.765197899999997</v>
      </c>
      <c r="L11">
        <v>80000</v>
      </c>
      <c r="M11">
        <f t="shared" si="0"/>
        <v>5.7535904761985085E-2</v>
      </c>
      <c r="O11">
        <f t="shared" si="1"/>
        <v>5.8999357452249407E-2</v>
      </c>
      <c r="Q11">
        <f t="shared" si="2"/>
        <v>0.18012648754181318</v>
      </c>
      <c r="S11">
        <f t="shared" si="3"/>
        <v>0.33922236000000083</v>
      </c>
      <c r="U11">
        <f t="shared" si="4"/>
        <v>0.48534587999999701</v>
      </c>
      <c r="W11">
        <v>0.83540455999999996</v>
      </c>
    </row>
    <row r="12" spans="1:24" x14ac:dyDescent="0.2">
      <c r="A12">
        <v>100000</v>
      </c>
      <c r="B12">
        <v>52.699582059999997</v>
      </c>
      <c r="C12">
        <v>49.01796994</v>
      </c>
      <c r="D12">
        <v>37.839872200000002</v>
      </c>
      <c r="E12">
        <v>48.412945880000002</v>
      </c>
      <c r="F12">
        <v>37.977753020000002</v>
      </c>
      <c r="G12">
        <v>52.271475729999999</v>
      </c>
      <c r="H12">
        <v>49.999755129999997</v>
      </c>
      <c r="I12">
        <v>39.553813509999998</v>
      </c>
      <c r="L12">
        <v>90000</v>
      </c>
      <c r="M12">
        <f t="shared" si="0"/>
        <v>3.6908013325051565E-2</v>
      </c>
      <c r="O12">
        <f t="shared" si="1"/>
        <v>0.31134144154391152</v>
      </c>
      <c r="Q12">
        <f t="shared" si="2"/>
        <v>0.3500875040113986</v>
      </c>
      <c r="S12">
        <f t="shared" si="3"/>
        <v>0.27169105000000116</v>
      </c>
      <c r="U12">
        <f t="shared" si="4"/>
        <v>1.0822263000000021</v>
      </c>
      <c r="W12">
        <v>1.0708342900000001</v>
      </c>
    </row>
    <row r="13" spans="1:24" x14ac:dyDescent="0.2">
      <c r="A13" t="s">
        <v>15</v>
      </c>
      <c r="B13">
        <v>52.464823369999998</v>
      </c>
      <c r="C13">
        <v>48.660269839999998</v>
      </c>
      <c r="D13">
        <v>37.839872200000002</v>
      </c>
      <c r="L13">
        <v>100000</v>
      </c>
      <c r="M13">
        <f t="shared" si="0"/>
        <v>9.1637514893033817E-2</v>
      </c>
      <c r="N13">
        <f>AVERAGE(M3:M13)</f>
        <v>2.534542997891169E-2</v>
      </c>
      <c r="O13">
        <f t="shared" si="1"/>
        <v>0.64131997806129259</v>
      </c>
      <c r="P13">
        <f>AVERAGE(O3:O13)</f>
        <v>0.12974382032847584</v>
      </c>
      <c r="Q13">
        <f t="shared" si="2"/>
        <v>0.90676210046456684</v>
      </c>
      <c r="R13">
        <f>AVERAGE(Q3:Q13)</f>
        <v>0.20962216291476557</v>
      </c>
      <c r="S13">
        <f t="shared" si="3"/>
        <v>0.42810632999999854</v>
      </c>
      <c r="T13">
        <f>AVERAGE(S3:S13)</f>
        <v>0.18115226627272751</v>
      </c>
      <c r="U13">
        <f t="shared" si="4"/>
        <v>1.5868092499999946</v>
      </c>
      <c r="V13">
        <v>0.58588979500000005</v>
      </c>
      <c r="W13">
        <v>1.7139413100000001</v>
      </c>
      <c r="X13">
        <v>0.74202388500000005</v>
      </c>
    </row>
    <row r="14" spans="1:24" x14ac:dyDescent="0.2">
      <c r="L14" t="s">
        <v>15</v>
      </c>
      <c r="M14">
        <f>_xlfn.VAR.S(B13,B12,G12)</f>
        <v>4.5961663701692121E-2</v>
      </c>
      <c r="N14">
        <f>AVERAGE(M3:M14)</f>
        <v>2.706344945581006E-2</v>
      </c>
      <c r="O14">
        <f>_xlfn.VAR.S(C13,H12,E12,C12)</f>
        <v>0.48593826776868571</v>
      </c>
      <c r="P14">
        <f>AVERAGE(O3:O14)</f>
        <v>0.15942669094849332</v>
      </c>
      <c r="Q14" t="e">
        <f t="shared" si="2"/>
        <v>#DIV/0!</v>
      </c>
      <c r="S14">
        <f>MAX(B13,G12,B12)-MIN(B13,G12,B12)</f>
        <v>0.42810632999999854</v>
      </c>
      <c r="T14">
        <f>AVERAGE(S3:S14)</f>
        <v>0.20173177158333344</v>
      </c>
      <c r="U14">
        <f>MAX(C12,H12,E12,C13)-MIN(C12,H12,E12,C13)</f>
        <v>1.5868092499999946</v>
      </c>
      <c r="V14">
        <v>0.669299749</v>
      </c>
      <c r="W14">
        <v>1.7139413100000001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DFSA-CCAM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2025-01-03T13:18:28Z</dcterms:created>
  <dcterms:modified xsi:type="dcterms:W3CDTF">2025-01-03T13:18:45Z</dcterms:modified>
</cp:coreProperties>
</file>