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6B2D75B2-FD90-428D-AADD-88E4C7142BDE}" xr6:coauthVersionLast="47" xr6:coauthVersionMax="47" xr10:uidLastSave="{00000000-0000-0000-0000-000000000000}"/>
  <bookViews>
    <workbookView xWindow="-108" yWindow="-108" windowWidth="23256" windowHeight="12456" xr2:uid="{1E7DAF7A-A300-4036-9F6C-43F0A4343EF9}"/>
  </bookViews>
  <sheets>
    <sheet name="DFSA-EB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N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3" i="1" s="1"/>
  <c r="Q4" i="1"/>
  <c r="R13" i="1" s="1"/>
  <c r="O4" i="1"/>
  <c r="P14" i="1" s="1"/>
  <c r="M4" i="1"/>
  <c r="N14" i="1" s="1"/>
  <c r="W3" i="1"/>
  <c r="U3" i="1"/>
  <c r="S3" i="1"/>
  <c r="T14" i="1" s="1"/>
  <c r="Q3" i="1"/>
  <c r="O3" i="1"/>
  <c r="M3" i="1"/>
</calcChain>
</file>

<file path=xl/sharedStrings.xml><?xml version="1.0" encoding="utf-8"?>
<sst xmlns="http://schemas.openxmlformats.org/spreadsheetml/2006/main" count="30" uniqueCount="16">
  <si>
    <t>Pressure</t>
  </si>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</sst>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F75F-DC4B-443A-B182-F545B8A1954D}">
  <dimension ref="A1:X14"/>
  <sheetViews>
    <sheetView tabSelected="1" workbookViewId="0">
      <selection activeCell="J16" sqref="J16"/>
    </sheetView>
  </sheetViews>
  <sheetFormatPr defaultRowHeight="13.2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O1" t="s">
        <v>10</v>
      </c>
      <c r="Q1" t="s">
        <v>11</v>
      </c>
      <c r="S1" t="s">
        <v>9</v>
      </c>
      <c r="U1" t="s">
        <v>10</v>
      </c>
      <c r="W1" t="s">
        <v>11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0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3.2014713430000001</v>
      </c>
      <c r="C3">
        <v>2.3349556219999998</v>
      </c>
      <c r="D3">
        <v>1.305124212</v>
      </c>
      <c r="E3">
        <v>2.7183430190000002</v>
      </c>
      <c r="F3">
        <v>1.849490163</v>
      </c>
      <c r="G3">
        <v>3.4477882019999999</v>
      </c>
      <c r="H3">
        <v>2.9756009560000001</v>
      </c>
      <c r="I3">
        <v>1.6285383010000001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6.8912918799999998</v>
      </c>
      <c r="C4">
        <v>5.1208616149999999</v>
      </c>
      <c r="D4">
        <v>2.7030478570000001</v>
      </c>
      <c r="E4">
        <v>5.7235121830000004</v>
      </c>
      <c r="F4">
        <v>4.2069852760000002</v>
      </c>
      <c r="G4">
        <v>7.2875363719999999</v>
      </c>
      <c r="H4">
        <v>6.4382864619999998</v>
      </c>
      <c r="I4">
        <v>3.603290866</v>
      </c>
      <c r="L4">
        <v>10000</v>
      </c>
      <c r="M4">
        <f t="shared" ref="M4:M13" si="0">_xlfn.VAR.S(B3,G3)</f>
        <v>3.0335997513812885E-2</v>
      </c>
      <c r="O4">
        <f t="shared" ref="O4:O14" si="1">_xlfn.VAR.S(C3,H3,E3)</f>
        <v>0.10393233105065061</v>
      </c>
      <c r="Q4">
        <f t="shared" ref="Q4:Q14" si="2">_xlfn.VAR.S(D3,I3,F3)</f>
        <v>7.4958447815516305E-2</v>
      </c>
      <c r="S4">
        <f t="shared" ref="S4:S14" si="3">MAX(B3,G3)-MIN(B3,G3)</f>
        <v>0.24631685899999978</v>
      </c>
      <c r="U4">
        <f t="shared" ref="U4:U14" si="4">MAX(C3,H3,E3)-MIN(C3,H3,E3)</f>
        <v>0.64064533400000023</v>
      </c>
      <c r="W4">
        <v>0.27334368100000001</v>
      </c>
    </row>
    <row r="5" spans="1:24" x14ac:dyDescent="0.2">
      <c r="A5">
        <v>30000</v>
      </c>
      <c r="B5">
        <v>11.103483750000001</v>
      </c>
      <c r="C5">
        <v>8.6152523950000006</v>
      </c>
      <c r="D5">
        <v>4.6000921659999996</v>
      </c>
      <c r="E5">
        <v>9.1671869830000006</v>
      </c>
      <c r="F5">
        <v>6.9398757990000002</v>
      </c>
      <c r="G5">
        <v>11.532944820000001</v>
      </c>
      <c r="H5">
        <v>10.552708989999999</v>
      </c>
      <c r="I5">
        <v>6.0837625879999999</v>
      </c>
      <c r="L5">
        <v>20000</v>
      </c>
      <c r="M5">
        <f t="shared" si="0"/>
        <v>7.8504848720169079E-2</v>
      </c>
      <c r="O5">
        <f t="shared" si="1"/>
        <v>0.43494970075394418</v>
      </c>
      <c r="Q5">
        <f t="shared" si="2"/>
        <v>0.57278536269783231</v>
      </c>
      <c r="S5">
        <f t="shared" si="3"/>
        <v>0.39624449200000011</v>
      </c>
      <c r="U5">
        <f t="shared" si="4"/>
        <v>1.3174248469999998</v>
      </c>
      <c r="W5">
        <v>0.42367957499999997</v>
      </c>
    </row>
    <row r="6" spans="1:24" x14ac:dyDescent="0.2">
      <c r="A6">
        <v>40000</v>
      </c>
      <c r="B6">
        <v>15.93966578</v>
      </c>
      <c r="C6">
        <v>12.83966362</v>
      </c>
      <c r="D6">
        <v>7.0777405880000002</v>
      </c>
      <c r="E6">
        <v>12.94761121</v>
      </c>
      <c r="F6">
        <v>10.041867140000001</v>
      </c>
      <c r="G6">
        <v>16.299107459999998</v>
      </c>
      <c r="H6">
        <v>15.39192474</v>
      </c>
      <c r="I6">
        <v>8.9971379860000003</v>
      </c>
      <c r="L6">
        <v>30000</v>
      </c>
      <c r="M6">
        <f t="shared" si="0"/>
        <v>9.221840532277259E-2</v>
      </c>
      <c r="O6">
        <f t="shared" si="1"/>
        <v>0.99634017980350387</v>
      </c>
      <c r="Q6">
        <f t="shared" si="2"/>
        <v>1.4014658667368636</v>
      </c>
      <c r="S6">
        <f t="shared" si="3"/>
        <v>0.42946107000000033</v>
      </c>
      <c r="U6">
        <f t="shared" si="4"/>
        <v>1.9374565949999987</v>
      </c>
      <c r="W6">
        <v>0.51278527200000001</v>
      </c>
    </row>
    <row r="7" spans="1:24" x14ac:dyDescent="0.2">
      <c r="A7">
        <v>50000</v>
      </c>
      <c r="B7">
        <v>21.486945630000001</v>
      </c>
      <c r="C7">
        <v>17.83254123</v>
      </c>
      <c r="D7">
        <v>9.8925446860000008</v>
      </c>
      <c r="E7">
        <v>17.131835580000001</v>
      </c>
      <c r="F7">
        <v>13.505953959999999</v>
      </c>
      <c r="G7">
        <v>21.59926613</v>
      </c>
      <c r="H7">
        <v>21.062514870000001</v>
      </c>
      <c r="I7">
        <v>12.491945169999999</v>
      </c>
      <c r="L7">
        <v>40000</v>
      </c>
      <c r="M7">
        <f t="shared" si="0"/>
        <v>6.4599160660610472E-2</v>
      </c>
      <c r="O7">
        <f t="shared" si="1"/>
        <v>2.0833930232985884</v>
      </c>
      <c r="Q7">
        <f t="shared" si="2"/>
        <v>2.2602652654896929</v>
      </c>
      <c r="S7">
        <f t="shared" si="3"/>
        <v>0.35944167999999799</v>
      </c>
      <c r="U7">
        <f t="shared" si="4"/>
        <v>2.5522611200000007</v>
      </c>
      <c r="W7">
        <v>0.88740774499999997</v>
      </c>
    </row>
    <row r="8" spans="1:24" x14ac:dyDescent="0.2">
      <c r="A8">
        <v>60000</v>
      </c>
      <c r="B8">
        <v>27.860227739999999</v>
      </c>
      <c r="C8">
        <v>23.156640150000001</v>
      </c>
      <c r="D8">
        <v>13.39106657</v>
      </c>
      <c r="E8">
        <v>21.684992810000001</v>
      </c>
      <c r="F8">
        <v>17.145226439999998</v>
      </c>
      <c r="G8">
        <v>27.536432919999999</v>
      </c>
      <c r="H8">
        <v>27.47803197</v>
      </c>
      <c r="I8">
        <v>16.604341860000002</v>
      </c>
      <c r="L8">
        <v>50000</v>
      </c>
      <c r="M8">
        <f t="shared" si="0"/>
        <v>6.3079473601249051E-3</v>
      </c>
      <c r="O8">
        <f t="shared" si="1"/>
        <v>4.3956596339786138</v>
      </c>
      <c r="Q8">
        <f t="shared" si="2"/>
        <v>3.4736372139743139</v>
      </c>
      <c r="S8">
        <f t="shared" si="3"/>
        <v>0.11232049999999916</v>
      </c>
      <c r="U8">
        <f t="shared" si="4"/>
        <v>3.9306792900000005</v>
      </c>
      <c r="W8">
        <v>0.73956829000000002</v>
      </c>
    </row>
    <row r="9" spans="1:24" x14ac:dyDescent="0.2">
      <c r="A9">
        <v>70000</v>
      </c>
      <c r="B9">
        <v>35.113747889999999</v>
      </c>
      <c r="C9">
        <v>28.583659229999999</v>
      </c>
      <c r="D9">
        <v>17.723898259999999</v>
      </c>
      <c r="E9">
        <v>26.498788099999999</v>
      </c>
      <c r="F9">
        <v>21.169056309999998</v>
      </c>
      <c r="G9">
        <v>34.135179280000003</v>
      </c>
      <c r="H9">
        <v>34.449712660000003</v>
      </c>
      <c r="I9">
        <v>21.32145358</v>
      </c>
      <c r="L9">
        <v>60000</v>
      </c>
      <c r="M9">
        <f t="shared" si="0"/>
        <v>5.242154272941614E-2</v>
      </c>
      <c r="O9">
        <f t="shared" si="1"/>
        <v>9.0665793107641548</v>
      </c>
      <c r="Q9">
        <f t="shared" si="2"/>
        <v>4.1185684246208325</v>
      </c>
      <c r="S9">
        <f t="shared" si="3"/>
        <v>0.32379481999999982</v>
      </c>
      <c r="U9">
        <f t="shared" si="4"/>
        <v>5.7930391599999993</v>
      </c>
      <c r="W9">
        <v>0.84515220000000002</v>
      </c>
    </row>
    <row r="10" spans="1:24" x14ac:dyDescent="0.2">
      <c r="A10">
        <v>80000</v>
      </c>
      <c r="B10">
        <v>43.306024209999997</v>
      </c>
      <c r="C10">
        <v>33.600088839999998</v>
      </c>
      <c r="D10">
        <v>22.349637850000001</v>
      </c>
      <c r="E10">
        <v>31.643505810000001</v>
      </c>
      <c r="F10">
        <v>25.403958079999999</v>
      </c>
      <c r="G10">
        <v>41.760860659999999</v>
      </c>
      <c r="H10">
        <v>41.370964960000002</v>
      </c>
      <c r="I10">
        <v>26.908183380000001</v>
      </c>
      <c r="L10">
        <v>70000</v>
      </c>
      <c r="M10">
        <f t="shared" si="0"/>
        <v>0.47879826223866251</v>
      </c>
      <c r="O10">
        <f t="shared" si="1"/>
        <v>16.995745305189075</v>
      </c>
      <c r="Q10">
        <f t="shared" si="2"/>
        <v>4.1391238663072611</v>
      </c>
      <c r="S10">
        <f t="shared" si="3"/>
        <v>0.9785686099999964</v>
      </c>
      <c r="U10">
        <f t="shared" si="4"/>
        <v>7.9509245600000042</v>
      </c>
      <c r="W10">
        <v>0.86014581000000001</v>
      </c>
    </row>
    <row r="11" spans="1:24" x14ac:dyDescent="0.2">
      <c r="A11">
        <v>90000</v>
      </c>
      <c r="B11">
        <v>52.341285470000003</v>
      </c>
      <c r="C11">
        <v>38.848266840000001</v>
      </c>
      <c r="D11">
        <v>28.01295</v>
      </c>
      <c r="E11">
        <v>36.881803050000002</v>
      </c>
      <c r="F11">
        <v>29.805363799999999</v>
      </c>
      <c r="G11">
        <v>50.334111630000002</v>
      </c>
      <c r="H11">
        <v>48.323942240000001</v>
      </c>
      <c r="I11">
        <v>33.085241850000003</v>
      </c>
      <c r="L11">
        <v>80000</v>
      </c>
      <c r="M11">
        <f t="shared" si="0"/>
        <v>1.1937651981242983</v>
      </c>
      <c r="O11">
        <f t="shared" si="1"/>
        <v>26.473032390098524</v>
      </c>
      <c r="Q11">
        <f t="shared" si="2"/>
        <v>5.3953171949383858</v>
      </c>
      <c r="S11">
        <f t="shared" si="3"/>
        <v>1.5451635499999981</v>
      </c>
      <c r="U11">
        <f t="shared" si="4"/>
        <v>9.7274591500000014</v>
      </c>
      <c r="W11">
        <v>0.83540455999999996</v>
      </c>
    </row>
    <row r="12" spans="1:24" x14ac:dyDescent="0.2">
      <c r="A12">
        <v>100000</v>
      </c>
      <c r="B12">
        <v>61.61196812</v>
      </c>
      <c r="C12">
        <v>44.303940240000003</v>
      </c>
      <c r="D12">
        <v>33.668510849999997</v>
      </c>
      <c r="E12">
        <v>41.945007500000003</v>
      </c>
      <c r="F12">
        <v>34.315255899999997</v>
      </c>
      <c r="G12">
        <v>56.215888049999997</v>
      </c>
      <c r="H12">
        <v>51.821548329999999</v>
      </c>
      <c r="I12">
        <v>37.844385150000001</v>
      </c>
      <c r="L12">
        <v>90000</v>
      </c>
      <c r="M12">
        <f t="shared" si="0"/>
        <v>2.0143734119901731</v>
      </c>
      <c r="O12">
        <f t="shared" si="1"/>
        <v>37.429658894480326</v>
      </c>
      <c r="Q12">
        <f t="shared" si="2"/>
        <v>6.6164153108131192</v>
      </c>
      <c r="S12">
        <f t="shared" si="3"/>
        <v>2.0071738400000001</v>
      </c>
      <c r="U12">
        <f t="shared" si="4"/>
        <v>11.442139189999999</v>
      </c>
      <c r="W12">
        <v>1.0708342900000001</v>
      </c>
    </row>
    <row r="13" spans="1:24" x14ac:dyDescent="0.2">
      <c r="A13" t="s">
        <v>15</v>
      </c>
      <c r="B13">
        <v>62.748658345346577</v>
      </c>
      <c r="C13">
        <v>50.188524027132004</v>
      </c>
      <c r="D13">
        <v>37.839872200000002</v>
      </c>
      <c r="L13">
        <v>100000</v>
      </c>
      <c r="M13">
        <f t="shared" si="0"/>
        <v>14.558840060925622</v>
      </c>
      <c r="N13">
        <f>AVERAGE(M3:M13)</f>
        <v>1.6881968032350601</v>
      </c>
      <c r="O13">
        <f t="shared" si="1"/>
        <v>26.604175638889053</v>
      </c>
      <c r="P13">
        <f>AVERAGE(O3:O13)</f>
        <v>11.325769673482403</v>
      </c>
      <c r="Q13">
        <f t="shared" si="2"/>
        <v>5.0518264320509356</v>
      </c>
      <c r="R13">
        <f>AVERAGE(Q3:Q13)</f>
        <v>3.0094875804949779</v>
      </c>
      <c r="S13">
        <f t="shared" si="3"/>
        <v>5.3960800700000036</v>
      </c>
      <c r="T13">
        <f>AVERAGE(S3:S13)</f>
        <v>1.0722332264545449</v>
      </c>
      <c r="U13">
        <f t="shared" si="4"/>
        <v>9.8765408299999962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12.181138753668723</v>
      </c>
      <c r="N14">
        <f>AVERAGE(M3:M14)</f>
        <v>2.5626086324378652</v>
      </c>
      <c r="O14">
        <f>_xlfn.VAR.S(C13,H12,E12,C12)</f>
        <v>22.072976107330589</v>
      </c>
      <c r="P14">
        <f>AVERAGE(O3:O14)</f>
        <v>12.221370209636419</v>
      </c>
      <c r="Q14">
        <f>_xlfn.VAR.S(D13,I12,F12)</f>
        <v>4.1462822820248366</v>
      </c>
      <c r="S14">
        <f>MAX(B13,G12,B12)-MIN(B13,G12,B12)</f>
        <v>6.5327702953465803</v>
      </c>
      <c r="T14">
        <f>AVERAGE(S3:S14)</f>
        <v>1.5272779821955478</v>
      </c>
      <c r="U14">
        <f>MAX(C12,H12,E12,C13)-MIN(C12,H12,E12,C13)</f>
        <v>9.8765408299999962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DFSA-EBAM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2025-01-03T13:15:00Z</dcterms:created>
  <dcterms:modified xsi:type="dcterms:W3CDTF">2025-01-03T13:16:03Z</dcterms:modified>
</cp:coreProperties>
</file>